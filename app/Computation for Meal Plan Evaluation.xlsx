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" sheetId="1" r:id="rId5"/>
    <sheet state="visible" name="OVERALL" sheetId="2" r:id="rId6"/>
    <sheet state="visible" name="BREAKFAST" sheetId="3" r:id="rId7"/>
    <sheet state="visible" name="LUNCH" sheetId="4" r:id="rId8"/>
    <sheet state="visible" name="DINNER" sheetId="5" r:id="rId9"/>
  </sheets>
  <definedNames/>
  <calcPr/>
</workbook>
</file>

<file path=xl/sharedStrings.xml><?xml version="1.0" encoding="utf-8"?>
<sst xmlns="http://schemas.openxmlformats.org/spreadsheetml/2006/main" count="100" uniqueCount="40">
  <si>
    <t>OVERALL</t>
  </si>
  <si>
    <t>NUTRIENT</t>
  </si>
  <si>
    <t>BREAKFAST</t>
  </si>
  <si>
    <t>LUNCH</t>
  </si>
  <si>
    <t>DINNER</t>
  </si>
  <si>
    <t>OVERALL TOTAL</t>
  </si>
  <si>
    <t>TARGET TOTAL</t>
  </si>
  <si>
    <t>(EXCESS)/DEFICIENCY</t>
  </si>
  <si>
    <t>REMARKS</t>
  </si>
  <si>
    <t>NOTE</t>
  </si>
  <si>
    <t>KCAL</t>
  </si>
  <si>
    <t>If may "-" ibig sabihin sumobra, else within the target naman</t>
  </si>
  <si>
    <t>PROTEIN</t>
  </si>
  <si>
    <t>CARBS</t>
  </si>
  <si>
    <t>FATS</t>
  </si>
  <si>
    <t>FIBER</t>
  </si>
  <si>
    <t>INGREDIENT</t>
  </si>
  <si>
    <t>PORTION IN GRAMS (g)</t>
  </si>
  <si>
    <t>PHILFCT NUTRIENT VALUE PER 100G (FIXED)</t>
  </si>
  <si>
    <t>RAW VALUE</t>
  </si>
  <si>
    <t>DIVIDED BY 100</t>
  </si>
  <si>
    <t>Cooked white rice</t>
  </si>
  <si>
    <t>Egg, whole</t>
  </si>
  <si>
    <t>Grilled eggplant</t>
  </si>
  <si>
    <t>Tomato</t>
  </si>
  <si>
    <t>Onion</t>
  </si>
  <si>
    <t>Cooking oil</t>
  </si>
  <si>
    <t>Banana</t>
  </si>
  <si>
    <t>Roasted peanuts, unsalted</t>
  </si>
  <si>
    <t>Grilled chicken breast, cooked edible portion</t>
  </si>
  <si>
    <t>Kalabasa/squash</t>
  </si>
  <si>
    <t>Okra</t>
  </si>
  <si>
    <t>Sitaw/string beans</t>
  </si>
  <si>
    <t>Eggplant</t>
  </si>
  <si>
    <t>Papaya</t>
  </si>
  <si>
    <t>Grilled bangus/milkfish, cooked edible portion</t>
  </si>
  <si>
    <t>Cooked munggo/mung beans</t>
  </si>
  <si>
    <t>Malunggay leaves</t>
  </si>
  <si>
    <t>Garlic</t>
  </si>
  <si>
    <t>Pineapple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</si>
</sst>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/>
    <font>
      <sz val="12.0"/>
      <color rgb="FF000000"/>
      <name val="Arial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4" fillId="2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readingOrder="0" shrinkToFit="0" vertical="center" wrapText="1"/>
    </xf>
    <xf borderId="3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right"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4953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4.25"/>
    <col customWidth="1" min="3" max="7" width="13.0"/>
    <col customWidth="1" min="8" max="8" width="23.38"/>
    <col customWidth="1" min="9" max="9" width="21.63"/>
    <col customWidth="1" min="10" max="10" width="13.0"/>
    <col customWidth="1" min="11" max="11" width="2.5"/>
  </cols>
  <sheetData>
    <row r="1">
      <c r="A1" s="1"/>
      <c r="B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4"/>
    </row>
    <row r="3">
      <c r="A3" s="1"/>
      <c r="B3" s="5"/>
      <c r="C3" s="6"/>
      <c r="D3" s="6"/>
      <c r="E3" s="6"/>
      <c r="F3" s="6"/>
      <c r="G3" s="6"/>
      <c r="H3" s="6"/>
      <c r="I3" s="6"/>
      <c r="J3" s="6"/>
      <c r="K3" s="7"/>
    </row>
    <row r="4">
      <c r="A4" s="1"/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7"/>
    </row>
    <row r="5">
      <c r="A5" s="1"/>
      <c r="B5" s="9" t="s">
        <v>10</v>
      </c>
      <c r="C5" s="10">
        <f>BREAKFAST!K15</f>
        <v>602.7</v>
      </c>
      <c r="D5" s="10">
        <f>LUNCH!K17</f>
        <v>486.4</v>
      </c>
      <c r="E5" s="10">
        <f>DINNER!K16</f>
        <v>635.26</v>
      </c>
      <c r="F5" s="10">
        <f t="shared" ref="F5:F9" si="1">SUM(C5:E5)</f>
        <v>1724.36</v>
      </c>
      <c r="G5" s="10">
        <v>1800.0</v>
      </c>
      <c r="H5" s="10">
        <f t="shared" ref="H5:H9" si="2">G5-F5</f>
        <v>75.64</v>
      </c>
      <c r="I5" s="11" t="str">
        <f t="shared" ref="I5:I9" si="3">IF(ABS(G5-F5)&lt;=H5, "Within target range", IF(H5&gt;0, "Deficiency", "Excess"))</f>
        <v>Within target range</v>
      </c>
      <c r="J5" s="12" t="s">
        <v>11</v>
      </c>
      <c r="K5" s="7"/>
    </row>
    <row r="6">
      <c r="A6" s="1"/>
      <c r="B6" s="9" t="s">
        <v>12</v>
      </c>
      <c r="C6" s="10">
        <f>BREAKFAST!L15</f>
        <v>18.77</v>
      </c>
      <c r="D6" s="10">
        <f>LUNCH!L17</f>
        <v>32.365</v>
      </c>
      <c r="E6" s="10">
        <f>DINNER!L16</f>
        <v>38.54</v>
      </c>
      <c r="F6" s="10">
        <f t="shared" si="1"/>
        <v>89.675</v>
      </c>
      <c r="G6" s="10">
        <v>90.0</v>
      </c>
      <c r="H6" s="10">
        <f t="shared" si="2"/>
        <v>0.325</v>
      </c>
      <c r="I6" s="11" t="str">
        <f t="shared" si="3"/>
        <v>Within target range</v>
      </c>
      <c r="J6" s="7"/>
      <c r="K6" s="7"/>
    </row>
    <row r="7">
      <c r="A7" s="1"/>
      <c r="B7" s="9" t="s">
        <v>13</v>
      </c>
      <c r="C7" s="10">
        <f>BREAKFAST!M15</f>
        <v>78.215</v>
      </c>
      <c r="D7" s="10">
        <f>LUNCH!M17</f>
        <v>73.37</v>
      </c>
      <c r="E7" s="10">
        <f>DINNER!M16</f>
        <v>74.562</v>
      </c>
      <c r="F7" s="10">
        <f t="shared" si="1"/>
        <v>226.147</v>
      </c>
      <c r="G7" s="10">
        <v>225.0</v>
      </c>
      <c r="H7" s="10">
        <f t="shared" si="2"/>
        <v>-1.147</v>
      </c>
      <c r="I7" s="11" t="str">
        <f t="shared" si="3"/>
        <v>Excess</v>
      </c>
      <c r="J7" s="7"/>
      <c r="K7" s="13"/>
    </row>
    <row r="8">
      <c r="A8" s="1"/>
      <c r="B8" s="9" t="s">
        <v>14</v>
      </c>
      <c r="C8" s="10">
        <f>BREAKFAST!N15</f>
        <v>23.81</v>
      </c>
      <c r="D8" s="10">
        <f>LUNCH!N17</f>
        <v>7.075</v>
      </c>
      <c r="E8" s="10">
        <f>DINNER!N16</f>
        <v>19.939</v>
      </c>
      <c r="F8" s="10">
        <f t="shared" si="1"/>
        <v>50.824</v>
      </c>
      <c r="G8" s="10">
        <v>60.0</v>
      </c>
      <c r="H8" s="10">
        <f t="shared" si="2"/>
        <v>9.176</v>
      </c>
      <c r="I8" s="11" t="str">
        <f t="shared" si="3"/>
        <v>Within target range</v>
      </c>
      <c r="J8" s="7"/>
      <c r="K8" s="14"/>
    </row>
    <row r="9">
      <c r="A9" s="1"/>
      <c r="B9" s="9" t="s">
        <v>15</v>
      </c>
      <c r="C9" s="10">
        <f>BREAKFAST!O15</f>
        <v>9.045</v>
      </c>
      <c r="D9" s="10">
        <f>LUNCH!O17</f>
        <v>8.465</v>
      </c>
      <c r="E9" s="10">
        <f>DINNER!O16</f>
        <v>9.179</v>
      </c>
      <c r="F9" s="10">
        <f t="shared" si="1"/>
        <v>26.689</v>
      </c>
      <c r="G9" s="10">
        <v>30.0</v>
      </c>
      <c r="H9" s="10">
        <f t="shared" si="2"/>
        <v>3.311</v>
      </c>
      <c r="I9" s="11" t="str">
        <f t="shared" si="3"/>
        <v>Within target range</v>
      </c>
      <c r="J9" s="13"/>
      <c r="K9" s="15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</sheetData>
  <mergeCells count="4">
    <mergeCell ref="K2:K7"/>
    <mergeCell ref="J5:J9"/>
    <mergeCell ref="B1:K1"/>
    <mergeCell ref="B2:J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4" width="14.25"/>
    <col customWidth="1" min="5" max="9" width="13.0"/>
    <col customWidth="1" min="10" max="10" width="2.5"/>
    <col customWidth="1" min="11" max="15" width="13.0"/>
    <col customWidth="1" min="16" max="16" width="14.25"/>
    <col customWidth="1" min="17" max="17" width="2.88"/>
  </cols>
  <sheetData>
    <row r="1">
      <c r="A1" s="1"/>
      <c r="B1" s="1"/>
    </row>
    <row r="2">
      <c r="A2" s="1"/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16"/>
    </row>
    <row r="3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6"/>
    </row>
    <row r="4">
      <c r="A4" s="1"/>
      <c r="B4" s="17" t="s">
        <v>16</v>
      </c>
      <c r="C4" s="18" t="s">
        <v>17</v>
      </c>
      <c r="D4" s="19"/>
      <c r="E4" s="18" t="s">
        <v>18</v>
      </c>
      <c r="F4" s="3"/>
      <c r="G4" s="3"/>
      <c r="H4" s="3"/>
      <c r="I4" s="19"/>
      <c r="J4" s="4"/>
      <c r="K4" s="20" t="s">
        <v>5</v>
      </c>
      <c r="L4" s="21"/>
      <c r="M4" s="21"/>
      <c r="N4" s="21"/>
      <c r="O4" s="22"/>
      <c r="P4" s="17" t="s">
        <v>8</v>
      </c>
      <c r="Q4" s="16"/>
    </row>
    <row r="5">
      <c r="A5" s="1"/>
      <c r="B5" s="13"/>
      <c r="C5" s="8" t="s">
        <v>19</v>
      </c>
      <c r="D5" s="8" t="s">
        <v>20</v>
      </c>
      <c r="E5" s="8" t="s">
        <v>10</v>
      </c>
      <c r="F5" s="8" t="s">
        <v>12</v>
      </c>
      <c r="G5" s="8" t="s">
        <v>13</v>
      </c>
      <c r="H5" s="8" t="s">
        <v>14</v>
      </c>
      <c r="I5" s="8" t="s">
        <v>15</v>
      </c>
      <c r="J5" s="7"/>
      <c r="K5" s="8" t="s">
        <v>10</v>
      </c>
      <c r="L5" s="8" t="s">
        <v>12</v>
      </c>
      <c r="M5" s="8" t="s">
        <v>13</v>
      </c>
      <c r="N5" s="8" t="s">
        <v>14</v>
      </c>
      <c r="O5" s="8" t="s">
        <v>15</v>
      </c>
      <c r="P5" s="13"/>
      <c r="Q5" s="16"/>
    </row>
    <row r="6">
      <c r="A6" s="1"/>
      <c r="B6" s="9" t="s">
        <v>21</v>
      </c>
      <c r="C6" s="10">
        <v>100.0</v>
      </c>
      <c r="D6" s="23">
        <f t="shared" ref="D6:D13" si="1">C6/100</f>
        <v>1</v>
      </c>
      <c r="E6" s="10">
        <v>129.0</v>
      </c>
      <c r="F6" s="10">
        <v>2.1</v>
      </c>
      <c r="G6" s="10">
        <v>29.7</v>
      </c>
      <c r="H6" s="10">
        <v>0.2</v>
      </c>
      <c r="I6" s="10">
        <v>0.4</v>
      </c>
      <c r="J6" s="7"/>
      <c r="K6" s="23">
        <f t="shared" ref="K6:K13" si="2">D6*E6</f>
        <v>129</v>
      </c>
      <c r="L6" s="23">
        <f t="shared" ref="L6:L13" si="3">D6*F6</f>
        <v>2.1</v>
      </c>
      <c r="M6" s="23">
        <f t="shared" ref="M6:M13" si="4">D6*G6</f>
        <v>29.7</v>
      </c>
      <c r="N6" s="23">
        <f t="shared" ref="N6:N13" si="5">D6*H6</f>
        <v>0.2</v>
      </c>
      <c r="O6" s="23">
        <f t="shared" ref="O6:O13" si="6">D6*I6</f>
        <v>0.4</v>
      </c>
      <c r="P6" s="23"/>
      <c r="Q6" s="16"/>
    </row>
    <row r="7">
      <c r="A7" s="1"/>
      <c r="B7" s="9" t="s">
        <v>22</v>
      </c>
      <c r="C7" s="10">
        <v>50.0</v>
      </c>
      <c r="D7" s="23">
        <f t="shared" si="1"/>
        <v>0.5</v>
      </c>
      <c r="E7" s="10">
        <v>139.0</v>
      </c>
      <c r="F7" s="10">
        <v>12.3</v>
      </c>
      <c r="G7" s="10">
        <v>1.4</v>
      </c>
      <c r="H7" s="10">
        <v>9.4</v>
      </c>
      <c r="I7" s="10">
        <v>0.0</v>
      </c>
      <c r="J7" s="7"/>
      <c r="K7" s="23">
        <f t="shared" si="2"/>
        <v>69.5</v>
      </c>
      <c r="L7" s="23">
        <f t="shared" si="3"/>
        <v>6.15</v>
      </c>
      <c r="M7" s="23">
        <f t="shared" si="4"/>
        <v>0.7</v>
      </c>
      <c r="N7" s="23">
        <f t="shared" si="5"/>
        <v>4.7</v>
      </c>
      <c r="O7" s="23">
        <f t="shared" si="6"/>
        <v>0</v>
      </c>
      <c r="P7" s="23"/>
      <c r="Q7" s="16"/>
    </row>
    <row r="8">
      <c r="A8" s="1"/>
      <c r="B8" s="9" t="s">
        <v>23</v>
      </c>
      <c r="C8" s="10">
        <v>150.0</v>
      </c>
      <c r="D8" s="23">
        <f t="shared" si="1"/>
        <v>1.5</v>
      </c>
      <c r="E8" s="10">
        <v>29.0</v>
      </c>
      <c r="F8" s="10">
        <v>1.2</v>
      </c>
      <c r="G8" s="10">
        <v>5.5</v>
      </c>
      <c r="H8" s="10">
        <v>0.2</v>
      </c>
      <c r="I8" s="10">
        <v>1.6</v>
      </c>
      <c r="J8" s="7"/>
      <c r="K8" s="23">
        <f t="shared" si="2"/>
        <v>43.5</v>
      </c>
      <c r="L8" s="23">
        <f t="shared" si="3"/>
        <v>1.8</v>
      </c>
      <c r="M8" s="23">
        <f t="shared" si="4"/>
        <v>8.25</v>
      </c>
      <c r="N8" s="23">
        <f t="shared" si="5"/>
        <v>0.3</v>
      </c>
      <c r="O8" s="23">
        <f t="shared" si="6"/>
        <v>2.4</v>
      </c>
      <c r="P8" s="23"/>
      <c r="Q8" s="16"/>
    </row>
    <row r="9">
      <c r="A9" s="1"/>
      <c r="B9" s="9" t="s">
        <v>24</v>
      </c>
      <c r="C9" s="10">
        <v>85.0</v>
      </c>
      <c r="D9" s="23">
        <f t="shared" si="1"/>
        <v>0.85</v>
      </c>
      <c r="E9" s="10">
        <v>25.0</v>
      </c>
      <c r="F9" s="10">
        <v>0.8</v>
      </c>
      <c r="G9" s="10">
        <v>5.2</v>
      </c>
      <c r="H9" s="10">
        <v>0.1</v>
      </c>
      <c r="I9" s="10">
        <v>0.3</v>
      </c>
      <c r="J9" s="7"/>
      <c r="K9" s="23">
        <f t="shared" si="2"/>
        <v>21.25</v>
      </c>
      <c r="L9" s="23">
        <f t="shared" si="3"/>
        <v>0.68</v>
      </c>
      <c r="M9" s="23">
        <f t="shared" si="4"/>
        <v>4.42</v>
      </c>
      <c r="N9" s="23">
        <f t="shared" si="5"/>
        <v>0.085</v>
      </c>
      <c r="O9" s="23">
        <f t="shared" si="6"/>
        <v>0.255</v>
      </c>
      <c r="P9" s="23"/>
      <c r="Q9" s="16"/>
    </row>
    <row r="10">
      <c r="A10" s="1"/>
      <c r="B10" s="9" t="s">
        <v>25</v>
      </c>
      <c r="C10" s="10">
        <v>30.0</v>
      </c>
      <c r="D10" s="23">
        <f t="shared" si="1"/>
        <v>0.3</v>
      </c>
      <c r="E10" s="10">
        <v>52.0</v>
      </c>
      <c r="F10" s="10">
        <v>1.7</v>
      </c>
      <c r="G10" s="10">
        <v>10.5</v>
      </c>
      <c r="H10" s="10">
        <v>0.3</v>
      </c>
      <c r="I10" s="10">
        <v>2.0</v>
      </c>
      <c r="J10" s="7"/>
      <c r="K10" s="23">
        <f t="shared" si="2"/>
        <v>15.6</v>
      </c>
      <c r="L10" s="23">
        <f t="shared" si="3"/>
        <v>0.51</v>
      </c>
      <c r="M10" s="23">
        <f t="shared" si="4"/>
        <v>3.15</v>
      </c>
      <c r="N10" s="23">
        <f t="shared" si="5"/>
        <v>0.09</v>
      </c>
      <c r="O10" s="23">
        <f t="shared" si="6"/>
        <v>0.6</v>
      </c>
      <c r="P10" s="23"/>
      <c r="Q10" s="16"/>
    </row>
    <row r="11">
      <c r="A11" s="1"/>
      <c r="B11" s="9" t="s">
        <v>26</v>
      </c>
      <c r="C11" s="10">
        <v>5.0</v>
      </c>
      <c r="D11" s="23">
        <f t="shared" si="1"/>
        <v>0.05</v>
      </c>
      <c r="E11" s="10">
        <v>896.0</v>
      </c>
      <c r="F11" s="10">
        <v>0.0</v>
      </c>
      <c r="G11" s="10">
        <v>0.0</v>
      </c>
      <c r="H11" s="10">
        <v>99.6</v>
      </c>
      <c r="I11" s="10">
        <v>0.0</v>
      </c>
      <c r="J11" s="7"/>
      <c r="K11" s="23">
        <f t="shared" si="2"/>
        <v>44.8</v>
      </c>
      <c r="L11" s="23">
        <f t="shared" si="3"/>
        <v>0</v>
      </c>
      <c r="M11" s="23">
        <f t="shared" si="4"/>
        <v>0</v>
      </c>
      <c r="N11" s="23">
        <f t="shared" si="5"/>
        <v>4.98</v>
      </c>
      <c r="O11" s="23">
        <f t="shared" si="6"/>
        <v>0</v>
      </c>
      <c r="P11" s="23"/>
      <c r="Q11" s="16"/>
    </row>
    <row r="12">
      <c r="A12" s="1"/>
      <c r="B12" s="9" t="s">
        <v>27</v>
      </c>
      <c r="C12" s="10">
        <v>120.0</v>
      </c>
      <c r="D12" s="23">
        <f t="shared" si="1"/>
        <v>1.2</v>
      </c>
      <c r="E12" s="10">
        <v>104.0</v>
      </c>
      <c r="F12" s="10">
        <v>0.9</v>
      </c>
      <c r="G12" s="10">
        <v>23.1</v>
      </c>
      <c r="H12" s="10">
        <v>0.9</v>
      </c>
      <c r="I12" s="10">
        <v>2.7</v>
      </c>
      <c r="J12" s="7"/>
      <c r="K12" s="23">
        <f t="shared" si="2"/>
        <v>124.8</v>
      </c>
      <c r="L12" s="23">
        <f t="shared" si="3"/>
        <v>1.08</v>
      </c>
      <c r="M12" s="23">
        <f t="shared" si="4"/>
        <v>27.72</v>
      </c>
      <c r="N12" s="23">
        <f t="shared" si="5"/>
        <v>1.08</v>
      </c>
      <c r="O12" s="23">
        <f t="shared" si="6"/>
        <v>3.24</v>
      </c>
      <c r="P12" s="23"/>
      <c r="Q12" s="16"/>
    </row>
    <row r="13">
      <c r="A13" s="1"/>
      <c r="B13" s="9" t="s">
        <v>28</v>
      </c>
      <c r="C13" s="10">
        <v>25.0</v>
      </c>
      <c r="D13" s="23">
        <f t="shared" si="1"/>
        <v>0.25</v>
      </c>
      <c r="E13" s="10">
        <v>617.0</v>
      </c>
      <c r="F13" s="10">
        <v>25.8</v>
      </c>
      <c r="G13" s="10">
        <v>17.1</v>
      </c>
      <c r="H13" s="10">
        <v>49.5</v>
      </c>
      <c r="I13" s="10">
        <v>8.6</v>
      </c>
      <c r="J13" s="13"/>
      <c r="K13" s="23">
        <f t="shared" si="2"/>
        <v>154.25</v>
      </c>
      <c r="L13" s="23">
        <f t="shared" si="3"/>
        <v>6.45</v>
      </c>
      <c r="M13" s="23">
        <f t="shared" si="4"/>
        <v>4.275</v>
      </c>
      <c r="N13" s="23">
        <f t="shared" si="5"/>
        <v>12.375</v>
      </c>
      <c r="O13" s="23">
        <f t="shared" si="6"/>
        <v>2.15</v>
      </c>
      <c r="P13" s="23"/>
      <c r="Q13" s="16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6"/>
    </row>
    <row r="15">
      <c r="A15" s="1"/>
      <c r="B15" s="24" t="s">
        <v>5</v>
      </c>
      <c r="C15" s="3"/>
      <c r="D15" s="3"/>
      <c r="E15" s="3"/>
      <c r="F15" s="3"/>
      <c r="G15" s="3"/>
      <c r="H15" s="3"/>
      <c r="I15" s="19"/>
      <c r="J15" s="1"/>
      <c r="K15" s="23">
        <f t="shared" ref="K15:O15" si="7">SUM(K6:K13)</f>
        <v>602.7</v>
      </c>
      <c r="L15" s="23">
        <f t="shared" si="7"/>
        <v>18.77</v>
      </c>
      <c r="M15" s="23">
        <f t="shared" si="7"/>
        <v>78.215</v>
      </c>
      <c r="N15" s="23">
        <f t="shared" si="7"/>
        <v>23.81</v>
      </c>
      <c r="O15" s="23">
        <f t="shared" si="7"/>
        <v>9.045</v>
      </c>
      <c r="P15" s="23"/>
      <c r="Q15" s="16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6"/>
    </row>
  </sheetData>
  <mergeCells count="9">
    <mergeCell ref="K4:O4"/>
    <mergeCell ref="P4:P5"/>
    <mergeCell ref="B15:I15"/>
    <mergeCell ref="C4:D4"/>
    <mergeCell ref="B4:B5"/>
    <mergeCell ref="B1:Q1"/>
    <mergeCell ref="B2:P2"/>
    <mergeCell ref="J4:J13"/>
    <mergeCell ref="E4:I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4" width="14.25"/>
    <col customWidth="1" min="5" max="9" width="13.0"/>
    <col customWidth="1" min="10" max="10" width="2.5"/>
    <col customWidth="1" min="11" max="15" width="13.0"/>
    <col customWidth="1" min="16" max="16" width="14.25"/>
    <col customWidth="1" min="17" max="17" width="2.88"/>
  </cols>
  <sheetData>
    <row r="1">
      <c r="A1" s="1"/>
      <c r="B1" s="1"/>
    </row>
    <row r="2">
      <c r="A2" s="1"/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16"/>
    </row>
    <row r="3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6"/>
    </row>
    <row r="4">
      <c r="A4" s="1"/>
      <c r="B4" s="17" t="s">
        <v>16</v>
      </c>
      <c r="C4" s="18" t="s">
        <v>17</v>
      </c>
      <c r="D4" s="19"/>
      <c r="E4" s="18" t="s">
        <v>18</v>
      </c>
      <c r="F4" s="3"/>
      <c r="G4" s="3"/>
      <c r="H4" s="3"/>
      <c r="I4" s="19"/>
      <c r="J4" s="4"/>
      <c r="K4" s="20" t="s">
        <v>5</v>
      </c>
      <c r="L4" s="21"/>
      <c r="M4" s="21"/>
      <c r="N4" s="21"/>
      <c r="O4" s="22"/>
      <c r="P4" s="17" t="s">
        <v>8</v>
      </c>
      <c r="Q4" s="16"/>
    </row>
    <row r="5">
      <c r="A5" s="1"/>
      <c r="B5" s="13"/>
      <c r="C5" s="8" t="s">
        <v>19</v>
      </c>
      <c r="D5" s="8" t="s">
        <v>20</v>
      </c>
      <c r="E5" s="8" t="s">
        <v>10</v>
      </c>
      <c r="F5" s="8" t="s">
        <v>12</v>
      </c>
      <c r="G5" s="8" t="s">
        <v>13</v>
      </c>
      <c r="H5" s="8" t="s">
        <v>14</v>
      </c>
      <c r="I5" s="8" t="s">
        <v>15</v>
      </c>
      <c r="J5" s="7"/>
      <c r="K5" s="8" t="s">
        <v>10</v>
      </c>
      <c r="L5" s="8" t="s">
        <v>12</v>
      </c>
      <c r="M5" s="8" t="s">
        <v>13</v>
      </c>
      <c r="N5" s="8" t="s">
        <v>14</v>
      </c>
      <c r="O5" s="8" t="s">
        <v>15</v>
      </c>
      <c r="P5" s="13"/>
      <c r="Q5" s="16"/>
    </row>
    <row r="6">
      <c r="A6" s="1"/>
      <c r="B6" s="25" t="s">
        <v>21</v>
      </c>
      <c r="C6" s="10">
        <v>105.0</v>
      </c>
      <c r="D6" s="23">
        <f t="shared" ref="D6:D13" si="1">C6/100</f>
        <v>1.05</v>
      </c>
      <c r="E6" s="10">
        <v>129.0</v>
      </c>
      <c r="F6" s="10">
        <v>2.1</v>
      </c>
      <c r="G6" s="10">
        <v>29.7</v>
      </c>
      <c r="H6" s="10">
        <v>0.2</v>
      </c>
      <c r="I6" s="10">
        <v>0.4</v>
      </c>
      <c r="J6" s="7"/>
      <c r="K6" s="23">
        <f t="shared" ref="K6:K13" si="2">D6*E6</f>
        <v>135.45</v>
      </c>
      <c r="L6" s="23">
        <f t="shared" ref="L6:L13" si="3">D6*F6</f>
        <v>2.205</v>
      </c>
      <c r="M6" s="23">
        <f t="shared" ref="M6:M13" si="4">D6*G6</f>
        <v>31.185</v>
      </c>
      <c r="N6" s="23">
        <f t="shared" ref="N6:N13" si="5">D6*H6</f>
        <v>0.21</v>
      </c>
      <c r="O6" s="23">
        <f t="shared" ref="O6:O13" si="6">D6*I6</f>
        <v>0.42</v>
      </c>
      <c r="P6" s="23"/>
      <c r="Q6" s="16"/>
    </row>
    <row r="7">
      <c r="A7" s="1"/>
      <c r="B7" s="25" t="s">
        <v>29</v>
      </c>
      <c r="C7" s="10">
        <v>110.0</v>
      </c>
      <c r="D7" s="23">
        <f t="shared" si="1"/>
        <v>1.1</v>
      </c>
      <c r="E7" s="10">
        <v>131.0</v>
      </c>
      <c r="F7" s="10">
        <v>21.6</v>
      </c>
      <c r="G7" s="10">
        <v>0.0</v>
      </c>
      <c r="H7" s="10">
        <v>5.0</v>
      </c>
      <c r="I7" s="10">
        <v>0.0</v>
      </c>
      <c r="J7" s="7"/>
      <c r="K7" s="23">
        <f t="shared" si="2"/>
        <v>144.1</v>
      </c>
      <c r="L7" s="23">
        <f t="shared" si="3"/>
        <v>23.76</v>
      </c>
      <c r="M7" s="23">
        <f t="shared" si="4"/>
        <v>0</v>
      </c>
      <c r="N7" s="23">
        <f t="shared" si="5"/>
        <v>5.5</v>
      </c>
      <c r="O7" s="23">
        <f t="shared" si="6"/>
        <v>0</v>
      </c>
      <c r="P7" s="23"/>
      <c r="Q7" s="16"/>
    </row>
    <row r="8">
      <c r="A8" s="1"/>
      <c r="B8" s="25" t="s">
        <v>30</v>
      </c>
      <c r="C8" s="10">
        <v>120.0</v>
      </c>
      <c r="D8" s="23">
        <f t="shared" si="1"/>
        <v>1.2</v>
      </c>
      <c r="E8" s="10">
        <v>47.0</v>
      </c>
      <c r="F8" s="10">
        <v>0.4</v>
      </c>
      <c r="G8" s="10">
        <v>10.8</v>
      </c>
      <c r="H8" s="10">
        <v>0.2</v>
      </c>
      <c r="I8" s="10">
        <v>1.1</v>
      </c>
      <c r="J8" s="7"/>
      <c r="K8" s="23">
        <f t="shared" si="2"/>
        <v>56.4</v>
      </c>
      <c r="L8" s="23">
        <f t="shared" si="3"/>
        <v>0.48</v>
      </c>
      <c r="M8" s="23">
        <f t="shared" si="4"/>
        <v>12.96</v>
      </c>
      <c r="N8" s="23">
        <f t="shared" si="5"/>
        <v>0.24</v>
      </c>
      <c r="O8" s="23">
        <f t="shared" si="6"/>
        <v>1.32</v>
      </c>
      <c r="P8" s="23"/>
      <c r="Q8" s="16"/>
    </row>
    <row r="9">
      <c r="A9" s="1"/>
      <c r="B9" s="25" t="s">
        <v>31</v>
      </c>
      <c r="C9" s="10">
        <v>70.0</v>
      </c>
      <c r="D9" s="23">
        <f t="shared" si="1"/>
        <v>0.7</v>
      </c>
      <c r="E9" s="10">
        <v>30.0</v>
      </c>
      <c r="F9" s="10">
        <v>1.0</v>
      </c>
      <c r="G9" s="10">
        <v>6.1</v>
      </c>
      <c r="H9" s="10">
        <v>0.2</v>
      </c>
      <c r="I9" s="10">
        <v>2.6</v>
      </c>
      <c r="J9" s="7"/>
      <c r="K9" s="23">
        <f t="shared" si="2"/>
        <v>21</v>
      </c>
      <c r="L9" s="23">
        <f t="shared" si="3"/>
        <v>0.7</v>
      </c>
      <c r="M9" s="23">
        <f t="shared" si="4"/>
        <v>4.27</v>
      </c>
      <c r="N9" s="23">
        <f t="shared" si="5"/>
        <v>0.14</v>
      </c>
      <c r="O9" s="23">
        <f t="shared" si="6"/>
        <v>1.82</v>
      </c>
      <c r="P9" s="23"/>
      <c r="Q9" s="16"/>
    </row>
    <row r="10">
      <c r="A10" s="1"/>
      <c r="B10" s="25" t="s">
        <v>32</v>
      </c>
      <c r="C10" s="10">
        <v>70.0</v>
      </c>
      <c r="D10" s="23">
        <f t="shared" si="1"/>
        <v>0.7</v>
      </c>
      <c r="E10" s="10">
        <v>52.0</v>
      </c>
      <c r="F10" s="10">
        <v>4.0</v>
      </c>
      <c r="G10" s="10">
        <v>7.9</v>
      </c>
      <c r="H10" s="10">
        <v>0.5</v>
      </c>
      <c r="I10" s="10">
        <v>2.7</v>
      </c>
      <c r="J10" s="7"/>
      <c r="K10" s="23">
        <f t="shared" si="2"/>
        <v>36.4</v>
      </c>
      <c r="L10" s="23">
        <f t="shared" si="3"/>
        <v>2.8</v>
      </c>
      <c r="M10" s="23">
        <f t="shared" si="4"/>
        <v>5.53</v>
      </c>
      <c r="N10" s="23">
        <f t="shared" si="5"/>
        <v>0.35</v>
      </c>
      <c r="O10" s="23">
        <f t="shared" si="6"/>
        <v>1.89</v>
      </c>
      <c r="P10" s="23"/>
      <c r="Q10" s="16"/>
    </row>
    <row r="11">
      <c r="A11" s="1"/>
      <c r="B11" s="25" t="s">
        <v>33</v>
      </c>
      <c r="C11" s="10">
        <v>55.0</v>
      </c>
      <c r="D11" s="23">
        <f t="shared" si="1"/>
        <v>0.55</v>
      </c>
      <c r="E11" s="10">
        <v>25.0</v>
      </c>
      <c r="F11" s="10">
        <v>1.0</v>
      </c>
      <c r="G11" s="10">
        <v>4.9</v>
      </c>
      <c r="H11" s="10">
        <v>0.1</v>
      </c>
      <c r="I11" s="10">
        <v>1.5</v>
      </c>
      <c r="J11" s="7"/>
      <c r="K11" s="23">
        <f t="shared" si="2"/>
        <v>13.75</v>
      </c>
      <c r="L11" s="23">
        <f t="shared" si="3"/>
        <v>0.55</v>
      </c>
      <c r="M11" s="23">
        <f t="shared" si="4"/>
        <v>2.695</v>
      </c>
      <c r="N11" s="23">
        <f t="shared" si="5"/>
        <v>0.055</v>
      </c>
      <c r="O11" s="23">
        <f t="shared" si="6"/>
        <v>0.825</v>
      </c>
      <c r="P11" s="23"/>
      <c r="Q11" s="16"/>
    </row>
    <row r="12">
      <c r="A12" s="1"/>
      <c r="B12" s="25" t="s">
        <v>24</v>
      </c>
      <c r="C12" s="10">
        <v>70.0</v>
      </c>
      <c r="D12" s="23">
        <f t="shared" si="1"/>
        <v>0.7</v>
      </c>
      <c r="E12" s="10">
        <v>25.0</v>
      </c>
      <c r="F12" s="10">
        <v>0.4</v>
      </c>
      <c r="G12" s="10">
        <v>5.6</v>
      </c>
      <c r="H12" s="10">
        <v>0.1</v>
      </c>
      <c r="I12" s="10">
        <v>0.3</v>
      </c>
      <c r="J12" s="7"/>
      <c r="K12" s="23">
        <f t="shared" si="2"/>
        <v>17.5</v>
      </c>
      <c r="L12" s="23">
        <f t="shared" si="3"/>
        <v>0.28</v>
      </c>
      <c r="M12" s="23">
        <f t="shared" si="4"/>
        <v>3.92</v>
      </c>
      <c r="N12" s="23">
        <f t="shared" si="5"/>
        <v>0.07</v>
      </c>
      <c r="O12" s="23">
        <f t="shared" si="6"/>
        <v>0.21</v>
      </c>
      <c r="P12" s="23"/>
      <c r="Q12" s="16"/>
    </row>
    <row r="13">
      <c r="A13" s="1"/>
      <c r="B13" s="25" t="s">
        <v>25</v>
      </c>
      <c r="C13" s="10">
        <v>30.0</v>
      </c>
      <c r="D13" s="23">
        <f t="shared" si="1"/>
        <v>0.3</v>
      </c>
      <c r="E13" s="10">
        <v>62.0</v>
      </c>
      <c r="F13" s="10">
        <v>1.1</v>
      </c>
      <c r="G13" s="10">
        <v>13.3</v>
      </c>
      <c r="H13" s="10">
        <v>0.5</v>
      </c>
      <c r="I13" s="10">
        <v>2.4</v>
      </c>
      <c r="J13" s="7"/>
      <c r="K13" s="23">
        <f t="shared" si="2"/>
        <v>18.6</v>
      </c>
      <c r="L13" s="23">
        <f t="shared" si="3"/>
        <v>0.33</v>
      </c>
      <c r="M13" s="23">
        <f t="shared" si="4"/>
        <v>3.99</v>
      </c>
      <c r="N13" s="23">
        <f t="shared" si="5"/>
        <v>0.15</v>
      </c>
      <c r="O13" s="23">
        <f t="shared" si="6"/>
        <v>0.72</v>
      </c>
      <c r="P13" s="23"/>
      <c r="Q13" s="16"/>
    </row>
    <row r="14">
      <c r="A14" s="1"/>
      <c r="B14" s="25" t="s">
        <v>26</v>
      </c>
      <c r="C14" s="10">
        <v>9.0</v>
      </c>
      <c r="D14" s="23"/>
      <c r="E14" s="10">
        <v>896.0</v>
      </c>
      <c r="F14" s="10">
        <v>0.0</v>
      </c>
      <c r="G14" s="10">
        <v>0.0</v>
      </c>
      <c r="H14" s="10">
        <v>99.6</v>
      </c>
      <c r="I14" s="10">
        <v>0.0</v>
      </c>
      <c r="J14" s="7"/>
      <c r="K14" s="23"/>
      <c r="L14" s="23"/>
      <c r="M14" s="23"/>
      <c r="N14" s="23"/>
      <c r="O14" s="23"/>
      <c r="P14" s="23"/>
      <c r="Q14" s="16"/>
    </row>
    <row r="15">
      <c r="A15" s="1"/>
      <c r="B15" s="25" t="s">
        <v>34</v>
      </c>
      <c r="C15" s="10">
        <v>180.0</v>
      </c>
      <c r="D15" s="23">
        <f>C15/100</f>
        <v>1.8</v>
      </c>
      <c r="E15" s="10">
        <v>24.0</v>
      </c>
      <c r="F15" s="10">
        <v>0.7</v>
      </c>
      <c r="G15" s="10">
        <v>4.9</v>
      </c>
      <c r="H15" s="10">
        <v>0.2</v>
      </c>
      <c r="I15" s="10">
        <v>0.7</v>
      </c>
      <c r="J15" s="13"/>
      <c r="K15" s="23">
        <f>D15*E15</f>
        <v>43.2</v>
      </c>
      <c r="L15" s="23">
        <f>D15*F15</f>
        <v>1.26</v>
      </c>
      <c r="M15" s="23">
        <f>D15*G15</f>
        <v>8.82</v>
      </c>
      <c r="N15" s="23">
        <f>D15*H15</f>
        <v>0.36</v>
      </c>
      <c r="O15" s="23">
        <f>D15*I15</f>
        <v>1.26</v>
      </c>
      <c r="P15" s="23"/>
      <c r="Q15" s="16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6"/>
    </row>
    <row r="17">
      <c r="A17" s="1"/>
      <c r="B17" s="24" t="s">
        <v>5</v>
      </c>
      <c r="C17" s="3"/>
      <c r="D17" s="3"/>
      <c r="E17" s="3"/>
      <c r="F17" s="3"/>
      <c r="G17" s="3"/>
      <c r="H17" s="3"/>
      <c r="I17" s="19"/>
      <c r="J17" s="1"/>
      <c r="K17" s="23">
        <f t="shared" ref="K17:O17" si="7">SUM(K6:K15)</f>
        <v>486.4</v>
      </c>
      <c r="L17" s="23">
        <f t="shared" si="7"/>
        <v>32.365</v>
      </c>
      <c r="M17" s="23">
        <f t="shared" si="7"/>
        <v>73.37</v>
      </c>
      <c r="N17" s="23">
        <f t="shared" si="7"/>
        <v>7.075</v>
      </c>
      <c r="O17" s="23">
        <f t="shared" si="7"/>
        <v>8.465</v>
      </c>
      <c r="P17" s="23"/>
      <c r="Q17" s="16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6"/>
    </row>
  </sheetData>
  <mergeCells count="9">
    <mergeCell ref="K4:O4"/>
    <mergeCell ref="P4:P5"/>
    <mergeCell ref="E4:I4"/>
    <mergeCell ref="B17:I17"/>
    <mergeCell ref="C4:D4"/>
    <mergeCell ref="B4:B5"/>
    <mergeCell ref="B1:Q1"/>
    <mergeCell ref="B2:P2"/>
    <mergeCell ref="J4:J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4" width="14.25"/>
    <col customWidth="1" min="5" max="9" width="13.0"/>
    <col customWidth="1" min="10" max="10" width="2.5"/>
    <col customWidth="1" min="11" max="15" width="13.0"/>
    <col customWidth="1" min="16" max="16" width="14.25"/>
    <col customWidth="1" min="17" max="17" width="2.88"/>
  </cols>
  <sheetData>
    <row r="1">
      <c r="A1" s="1"/>
      <c r="B1" s="1"/>
    </row>
    <row r="2">
      <c r="A2" s="1"/>
      <c r="B2" s="2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16"/>
    </row>
    <row r="3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6"/>
    </row>
    <row r="4">
      <c r="A4" s="1"/>
      <c r="B4" s="17" t="s">
        <v>16</v>
      </c>
      <c r="C4" s="18" t="s">
        <v>17</v>
      </c>
      <c r="D4" s="19"/>
      <c r="E4" s="18" t="s">
        <v>18</v>
      </c>
      <c r="F4" s="3"/>
      <c r="G4" s="3"/>
      <c r="H4" s="3"/>
      <c r="I4" s="19"/>
      <c r="J4" s="4"/>
      <c r="K4" s="20" t="s">
        <v>5</v>
      </c>
      <c r="L4" s="21"/>
      <c r="M4" s="21"/>
      <c r="N4" s="21"/>
      <c r="O4" s="22"/>
      <c r="P4" s="17" t="s">
        <v>8</v>
      </c>
      <c r="Q4" s="16"/>
    </row>
    <row r="5">
      <c r="A5" s="1"/>
      <c r="B5" s="13"/>
      <c r="C5" s="8" t="s">
        <v>19</v>
      </c>
      <c r="D5" s="8" t="s">
        <v>20</v>
      </c>
      <c r="E5" s="8" t="s">
        <v>10</v>
      </c>
      <c r="F5" s="8" t="s">
        <v>12</v>
      </c>
      <c r="G5" s="8" t="s">
        <v>13</v>
      </c>
      <c r="H5" s="8" t="s">
        <v>14</v>
      </c>
      <c r="I5" s="8" t="s">
        <v>15</v>
      </c>
      <c r="J5" s="7"/>
      <c r="K5" s="8" t="s">
        <v>10</v>
      </c>
      <c r="L5" s="8" t="s">
        <v>12</v>
      </c>
      <c r="M5" s="8" t="s">
        <v>13</v>
      </c>
      <c r="N5" s="8" t="s">
        <v>14</v>
      </c>
      <c r="O5" s="8" t="s">
        <v>15</v>
      </c>
      <c r="P5" s="13"/>
      <c r="Q5" s="16"/>
    </row>
    <row r="6">
      <c r="A6" s="1"/>
      <c r="B6" s="9" t="s">
        <v>21</v>
      </c>
      <c r="C6" s="10">
        <v>100.0</v>
      </c>
      <c r="D6" s="23">
        <f t="shared" ref="D6:D14" si="1">C6/100</f>
        <v>1</v>
      </c>
      <c r="E6" s="10">
        <v>129.0</v>
      </c>
      <c r="F6" s="10">
        <v>2.1</v>
      </c>
      <c r="G6" s="10">
        <v>29.7</v>
      </c>
      <c r="H6" s="10">
        <v>0.2</v>
      </c>
      <c r="I6" s="10">
        <v>0.4</v>
      </c>
      <c r="J6" s="7"/>
      <c r="K6" s="23">
        <f t="shared" ref="K6:K14" si="2">D6*E6</f>
        <v>129</v>
      </c>
      <c r="L6" s="23">
        <f t="shared" ref="L6:L14" si="3">D6*F6</f>
        <v>2.1</v>
      </c>
      <c r="M6" s="23">
        <f t="shared" ref="M6:M14" si="4">D6*G6</f>
        <v>29.7</v>
      </c>
      <c r="N6" s="23">
        <f t="shared" ref="N6:N14" si="5">D6*H6</f>
        <v>0.2</v>
      </c>
      <c r="O6" s="23">
        <f t="shared" ref="O6:O14" si="6">D6*I6</f>
        <v>0.4</v>
      </c>
      <c r="P6" s="23"/>
      <c r="Q6" s="16"/>
    </row>
    <row r="7">
      <c r="A7" s="1"/>
      <c r="B7" s="9" t="s">
        <v>35</v>
      </c>
      <c r="C7" s="10">
        <v>95.0</v>
      </c>
      <c r="D7" s="23">
        <f t="shared" si="1"/>
        <v>0.95</v>
      </c>
      <c r="E7" s="10">
        <v>137.0</v>
      </c>
      <c r="F7" s="10">
        <v>23.4</v>
      </c>
      <c r="G7" s="10">
        <v>0.0</v>
      </c>
      <c r="H7" s="10">
        <v>4.8</v>
      </c>
      <c r="I7" s="10">
        <v>0.0</v>
      </c>
      <c r="J7" s="7"/>
      <c r="K7" s="23">
        <f t="shared" si="2"/>
        <v>130.15</v>
      </c>
      <c r="L7" s="23">
        <f t="shared" si="3"/>
        <v>22.23</v>
      </c>
      <c r="M7" s="23">
        <f t="shared" si="4"/>
        <v>0</v>
      </c>
      <c r="N7" s="23">
        <f t="shared" si="5"/>
        <v>4.56</v>
      </c>
      <c r="O7" s="23">
        <f t="shared" si="6"/>
        <v>0</v>
      </c>
      <c r="P7" s="23"/>
      <c r="Q7" s="16"/>
    </row>
    <row r="8">
      <c r="A8" s="1"/>
      <c r="B8" s="9" t="s">
        <v>36</v>
      </c>
      <c r="C8" s="10">
        <v>150.0</v>
      </c>
      <c r="D8" s="23">
        <f t="shared" si="1"/>
        <v>1.5</v>
      </c>
      <c r="E8" s="10">
        <v>54.0</v>
      </c>
      <c r="F8" s="10">
        <v>4.8</v>
      </c>
      <c r="G8" s="10">
        <v>7.0</v>
      </c>
      <c r="H8" s="10">
        <v>0.5</v>
      </c>
      <c r="I8" s="10">
        <v>1.6</v>
      </c>
      <c r="J8" s="7"/>
      <c r="K8" s="23">
        <f t="shared" si="2"/>
        <v>81</v>
      </c>
      <c r="L8" s="23">
        <f t="shared" si="3"/>
        <v>7.2</v>
      </c>
      <c r="M8" s="23">
        <f t="shared" si="4"/>
        <v>10.5</v>
      </c>
      <c r="N8" s="23">
        <f t="shared" si="5"/>
        <v>0.75</v>
      </c>
      <c r="O8" s="23">
        <f t="shared" si="6"/>
        <v>2.4</v>
      </c>
      <c r="P8" s="23"/>
      <c r="Q8" s="16"/>
    </row>
    <row r="9">
      <c r="A9" s="1"/>
      <c r="B9" s="9" t="s">
        <v>37</v>
      </c>
      <c r="C9" s="10">
        <v>50.0</v>
      </c>
      <c r="D9" s="23">
        <f t="shared" si="1"/>
        <v>0.5</v>
      </c>
      <c r="E9" s="10">
        <v>108.0</v>
      </c>
      <c r="F9" s="10">
        <v>9.7</v>
      </c>
      <c r="G9" s="10">
        <v>12.7</v>
      </c>
      <c r="H9" s="10">
        <v>2.0</v>
      </c>
      <c r="I9" s="10">
        <v>6.7</v>
      </c>
      <c r="J9" s="7"/>
      <c r="K9" s="23">
        <f t="shared" si="2"/>
        <v>54</v>
      </c>
      <c r="L9" s="23">
        <f t="shared" si="3"/>
        <v>4.85</v>
      </c>
      <c r="M9" s="23">
        <f t="shared" si="4"/>
        <v>6.35</v>
      </c>
      <c r="N9" s="23">
        <f t="shared" si="5"/>
        <v>1</v>
      </c>
      <c r="O9" s="23">
        <f t="shared" si="6"/>
        <v>3.35</v>
      </c>
      <c r="P9" s="23"/>
      <c r="Q9" s="16"/>
    </row>
    <row r="10">
      <c r="A10" s="1"/>
      <c r="B10" s="9" t="s">
        <v>24</v>
      </c>
      <c r="C10" s="10">
        <v>70.0</v>
      </c>
      <c r="D10" s="23">
        <f t="shared" si="1"/>
        <v>0.7</v>
      </c>
      <c r="E10" s="10">
        <v>25.0</v>
      </c>
      <c r="F10" s="10">
        <v>0.8</v>
      </c>
      <c r="G10" s="10">
        <v>5.2</v>
      </c>
      <c r="H10" s="10">
        <v>0.1</v>
      </c>
      <c r="I10" s="10">
        <v>0.3</v>
      </c>
      <c r="J10" s="7"/>
      <c r="K10" s="23">
        <f t="shared" si="2"/>
        <v>17.5</v>
      </c>
      <c r="L10" s="23">
        <f t="shared" si="3"/>
        <v>0.56</v>
      </c>
      <c r="M10" s="23">
        <f t="shared" si="4"/>
        <v>3.64</v>
      </c>
      <c r="N10" s="23">
        <f t="shared" si="5"/>
        <v>0.07</v>
      </c>
      <c r="O10" s="23">
        <f t="shared" si="6"/>
        <v>0.21</v>
      </c>
      <c r="P10" s="23"/>
      <c r="Q10" s="16"/>
    </row>
    <row r="11">
      <c r="A11" s="1"/>
      <c r="B11" s="9" t="s">
        <v>25</v>
      </c>
      <c r="C11" s="10">
        <v>30.0</v>
      </c>
      <c r="D11" s="23">
        <f t="shared" si="1"/>
        <v>0.3</v>
      </c>
      <c r="E11" s="10">
        <v>52.0</v>
      </c>
      <c r="F11" s="10">
        <v>1.7</v>
      </c>
      <c r="G11" s="10">
        <v>10.5</v>
      </c>
      <c r="H11" s="10">
        <v>0.3</v>
      </c>
      <c r="I11" s="10">
        <v>2.0</v>
      </c>
      <c r="J11" s="7"/>
      <c r="K11" s="23">
        <f t="shared" si="2"/>
        <v>15.6</v>
      </c>
      <c r="L11" s="23">
        <f t="shared" si="3"/>
        <v>0.51</v>
      </c>
      <c r="M11" s="23">
        <f t="shared" si="4"/>
        <v>3.15</v>
      </c>
      <c r="N11" s="23">
        <f t="shared" si="5"/>
        <v>0.09</v>
      </c>
      <c r="O11" s="23">
        <f t="shared" si="6"/>
        <v>0.6</v>
      </c>
      <c r="P11" s="23"/>
      <c r="Q11" s="16"/>
    </row>
    <row r="12">
      <c r="A12" s="1"/>
      <c r="B12" s="9" t="s">
        <v>38</v>
      </c>
      <c r="C12" s="10">
        <v>7.0</v>
      </c>
      <c r="D12" s="23">
        <f t="shared" si="1"/>
        <v>0.07</v>
      </c>
      <c r="E12" s="10">
        <v>129.0</v>
      </c>
      <c r="F12" s="10">
        <v>7.0</v>
      </c>
      <c r="G12" s="10">
        <v>24.6</v>
      </c>
      <c r="H12" s="10">
        <v>0.3</v>
      </c>
      <c r="I12" s="10">
        <v>1.7</v>
      </c>
      <c r="J12" s="7"/>
      <c r="K12" s="23">
        <f t="shared" si="2"/>
        <v>9.03</v>
      </c>
      <c r="L12" s="23">
        <f t="shared" si="3"/>
        <v>0.49</v>
      </c>
      <c r="M12" s="23">
        <f t="shared" si="4"/>
        <v>1.722</v>
      </c>
      <c r="N12" s="23">
        <f t="shared" si="5"/>
        <v>0.021</v>
      </c>
      <c r="O12" s="23">
        <f t="shared" si="6"/>
        <v>0.119</v>
      </c>
      <c r="P12" s="23"/>
      <c r="Q12" s="16"/>
    </row>
    <row r="13">
      <c r="A13" s="1"/>
      <c r="B13" s="9" t="s">
        <v>26</v>
      </c>
      <c r="C13" s="10">
        <v>13.0</v>
      </c>
      <c r="D13" s="23">
        <f t="shared" si="1"/>
        <v>0.13</v>
      </c>
      <c r="E13" s="10">
        <v>896.0</v>
      </c>
      <c r="F13" s="10">
        <v>0.0</v>
      </c>
      <c r="G13" s="10">
        <v>0.0</v>
      </c>
      <c r="H13" s="10">
        <v>99.6</v>
      </c>
      <c r="I13" s="10">
        <v>0.0</v>
      </c>
      <c r="J13" s="7"/>
      <c r="K13" s="23">
        <f t="shared" si="2"/>
        <v>116.48</v>
      </c>
      <c r="L13" s="23">
        <f t="shared" si="3"/>
        <v>0</v>
      </c>
      <c r="M13" s="23">
        <f t="shared" si="4"/>
        <v>0</v>
      </c>
      <c r="N13" s="23">
        <f t="shared" si="5"/>
        <v>12.948</v>
      </c>
      <c r="O13" s="23">
        <f t="shared" si="6"/>
        <v>0</v>
      </c>
      <c r="P13" s="23"/>
      <c r="Q13" s="16"/>
    </row>
    <row r="14">
      <c r="A14" s="1"/>
      <c r="B14" s="9" t="s">
        <v>39</v>
      </c>
      <c r="C14" s="10">
        <v>150.0</v>
      </c>
      <c r="D14" s="23">
        <f t="shared" si="1"/>
        <v>1.5</v>
      </c>
      <c r="E14" s="10">
        <v>55.0</v>
      </c>
      <c r="F14" s="10">
        <v>0.4</v>
      </c>
      <c r="G14" s="10">
        <v>13.0</v>
      </c>
      <c r="H14" s="10">
        <v>0.2</v>
      </c>
      <c r="I14" s="10">
        <v>1.4</v>
      </c>
      <c r="J14" s="13"/>
      <c r="K14" s="23">
        <f t="shared" si="2"/>
        <v>82.5</v>
      </c>
      <c r="L14" s="23">
        <f t="shared" si="3"/>
        <v>0.6</v>
      </c>
      <c r="M14" s="23">
        <f t="shared" si="4"/>
        <v>19.5</v>
      </c>
      <c r="N14" s="23">
        <f t="shared" si="5"/>
        <v>0.3</v>
      </c>
      <c r="O14" s="23">
        <f t="shared" si="6"/>
        <v>2.1</v>
      </c>
      <c r="P14" s="23"/>
      <c r="Q14" s="16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6"/>
    </row>
    <row r="16">
      <c r="A16" s="1"/>
      <c r="B16" s="24" t="s">
        <v>5</v>
      </c>
      <c r="C16" s="3"/>
      <c r="D16" s="3"/>
      <c r="E16" s="3"/>
      <c r="F16" s="3"/>
      <c r="G16" s="3"/>
      <c r="H16" s="3"/>
      <c r="I16" s="19"/>
      <c r="J16" s="1"/>
      <c r="K16" s="23">
        <f t="shared" ref="K16:O16" si="7">SUM(K6:K14)</f>
        <v>635.26</v>
      </c>
      <c r="L16" s="23">
        <f t="shared" si="7"/>
        <v>38.54</v>
      </c>
      <c r="M16" s="23">
        <f t="shared" si="7"/>
        <v>74.562</v>
      </c>
      <c r="N16" s="23">
        <f t="shared" si="7"/>
        <v>19.939</v>
      </c>
      <c r="O16" s="23">
        <f t="shared" si="7"/>
        <v>9.179</v>
      </c>
      <c r="P16" s="23"/>
      <c r="Q16" s="16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6"/>
    </row>
  </sheetData>
  <mergeCells count="9">
    <mergeCell ref="E4:I4"/>
    <mergeCell ref="B16:I16"/>
    <mergeCell ref="C4:D4"/>
    <mergeCell ref="B4:B5"/>
    <mergeCell ref="J4:J14"/>
    <mergeCell ref="K4:O4"/>
    <mergeCell ref="B1:Q1"/>
    <mergeCell ref="B2:P2"/>
    <mergeCell ref="P4:P5"/>
  </mergeCells>
  <drawing r:id="rId1"/>
</worksheet>
</file>
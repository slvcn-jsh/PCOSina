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HART_READY_VALUES" sheetId="1" state="visible" r:id="rId1"/>
    <sheet xmlns:r="http://schemas.openxmlformats.org/officeDocument/2006/relationships" name="Formula" sheetId="2" state="visible" r:id="rId2"/>
    <sheet xmlns:r="http://schemas.openxmlformats.org/officeDocument/2006/relationships" name="OVERALL" sheetId="3" state="visible" r:id="rId3"/>
    <sheet xmlns:r="http://schemas.openxmlformats.org/officeDocument/2006/relationships" name="BREAKFAST" sheetId="4" state="visible" r:id="rId4"/>
    <sheet xmlns:r="http://schemas.openxmlformats.org/officeDocument/2006/relationships" name="LUNCH" sheetId="5" state="visible" r:id="rId5"/>
    <sheet xmlns:r="http://schemas.openxmlformats.org/officeDocument/2006/relationships" name="DINNER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Arial"/>
      <color rgb="FF000000"/>
      <sz val="10"/>
      <scheme val="minor"/>
    </font>
    <font>
      <name val="Arial"/>
      <color theme="1"/>
      <sz val="12"/>
    </font>
    <font>
      <name val="Arial"/>
      <b val="1"/>
      <color theme="1"/>
      <sz val="12"/>
    </font>
    <font/>
    <font>
      <name val="Arial"/>
      <color rgb="FF000000"/>
      <sz val="12"/>
    </font>
    <font>
      <name val="Arial"/>
      <color theme="1"/>
      <sz val="12"/>
      <scheme val="minor"/>
    </font>
  </fonts>
  <fills count="5">
    <fill>
      <patternFill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1" fillId="2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4" pivotButton="0" quotePrefix="0" xfId="0"/>
    <xf numFmtId="0" fontId="1" fillId="4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3" fillId="0" borderId="6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0" borderId="7" pivotButton="0" quotePrefix="0" xfId="0"/>
    <xf numFmtId="0" fontId="1" fillId="4" borderId="8" applyAlignment="1" pivotButton="0" quotePrefix="0" xfId="0">
      <alignment horizontal="center" vertical="center" wrapText="1"/>
    </xf>
    <xf numFmtId="0" fontId="3" fillId="0" borderId="9" pivotButton="0" quotePrefix="0" xfId="0"/>
    <xf numFmtId="0" fontId="3" fillId="0" borderId="1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right" vertical="center" wrapText="1"/>
    </xf>
    <xf numFmtId="0" fontId="4" fillId="0" borderId="5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pivotButton="0" quotePrefix="0" xfId="0"/>
    <xf numFmtId="0" fontId="0" fillId="0" borderId="2" pivotButton="0" quotePrefix="0" xfId="0"/>
    <xf numFmtId="0" fontId="1" fillId="2" borderId="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4" borderId="5" applyAlignment="1" pivotButton="0" quotePrefix="0" xfId="0">
      <alignment horizontal="righ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876800" cy="49530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style="26" min="1" max="1"/>
    <col width="18" customWidth="1" style="26" min="2" max="2"/>
    <col width="18" customWidth="1" style="26" min="3" max="3"/>
    <col width="18" customWidth="1" style="26" min="4" max="4"/>
    <col width="18" customWidth="1" style="26" min="5" max="5"/>
    <col width="18" customWidth="1" style="26" min="6" max="6"/>
    <col width="18" customWidth="1" style="26" min="7" max="7"/>
    <col width="18" customWidth="1" style="26" min="8" max="8"/>
  </cols>
  <sheetData>
    <row r="1">
      <c r="A1" t="inlineStr">
        <is>
          <t>Nutrient</t>
        </is>
      </c>
      <c r="B1" t="inlineStr">
        <is>
          <t>Breakfast</t>
        </is>
      </c>
      <c r="C1" t="inlineStr">
        <is>
          <t>Lunch</t>
        </is>
      </c>
      <c r="D1" t="inlineStr">
        <is>
          <t>Dinner</t>
        </is>
      </c>
      <c r="E1" t="inlineStr">
        <is>
          <t>Daily total</t>
        </is>
      </c>
      <c r="F1" t="inlineStr">
        <is>
          <t>Target</t>
        </is>
      </c>
      <c r="G1" t="inlineStr">
        <is>
          <t>Difference (Daily-Target)</t>
        </is>
      </c>
      <c r="H1" t="inlineStr">
        <is>
          <t>Status</t>
        </is>
      </c>
    </row>
    <row r="2">
      <c r="A2" t="inlineStr">
        <is>
          <t>KCAL</t>
        </is>
      </c>
      <c r="B2" s="27" t="n">
        <v>602.7</v>
      </c>
      <c r="C2" s="27" t="n">
        <v>567.0400000000001</v>
      </c>
      <c r="D2" s="27" t="n">
        <v>635.26</v>
      </c>
      <c r="E2" s="27" t="n">
        <v>1805</v>
      </c>
      <c r="F2" s="27" t="n">
        <v>1800</v>
      </c>
      <c r="G2" s="27" t="n">
        <v>5</v>
      </c>
      <c r="H2" t="inlineStr">
        <is>
          <t>Within target range</t>
        </is>
      </c>
    </row>
    <row r="3">
      <c r="A3" t="inlineStr">
        <is>
          <t>PROTEIN</t>
        </is>
      </c>
      <c r="B3" s="27" t="n">
        <v>18.77</v>
      </c>
      <c r="C3" s="27" t="n">
        <v>32.365</v>
      </c>
      <c r="D3" s="27" t="n">
        <v>38.54</v>
      </c>
      <c r="E3" s="27" t="n">
        <v>89.675</v>
      </c>
      <c r="F3" s="27" t="n">
        <v>90</v>
      </c>
      <c r="G3" s="27" t="n">
        <v>-0.3250000000000028</v>
      </c>
      <c r="H3" t="inlineStr">
        <is>
          <t>Within target range</t>
        </is>
      </c>
    </row>
    <row r="4">
      <c r="A4" t="inlineStr">
        <is>
          <t>CARBS</t>
        </is>
      </c>
      <c r="B4" s="27" t="n">
        <v>78.215</v>
      </c>
      <c r="C4" s="27" t="n">
        <v>73.37</v>
      </c>
      <c r="D4" s="27" t="n">
        <v>74.56200000000001</v>
      </c>
      <c r="E4" s="27" t="n">
        <v>226.147</v>
      </c>
      <c r="F4" s="27" t="n">
        <v>225</v>
      </c>
      <c r="G4" s="27" t="n">
        <v>1.14700000000002</v>
      </c>
      <c r="H4" t="inlineStr">
        <is>
          <t>Within target range</t>
        </is>
      </c>
    </row>
    <row r="5">
      <c r="A5" t="inlineStr">
        <is>
          <t>FATS</t>
        </is>
      </c>
      <c r="B5" s="27" t="n">
        <v>23.81</v>
      </c>
      <c r="C5" s="27" t="n">
        <v>16.039</v>
      </c>
      <c r="D5" s="27" t="n">
        <v>19.939</v>
      </c>
      <c r="E5" s="27" t="n">
        <v>59.788</v>
      </c>
      <c r="F5" s="27" t="n">
        <v>60</v>
      </c>
      <c r="G5" s="27" t="n">
        <v>-0.2120000000000033</v>
      </c>
      <c r="H5" t="inlineStr">
        <is>
          <t>Within target range</t>
        </is>
      </c>
    </row>
    <row r="6">
      <c r="A6" t="inlineStr">
        <is>
          <t>FIBER</t>
        </is>
      </c>
      <c r="B6" s="27" t="n">
        <v>9.045</v>
      </c>
      <c r="C6" s="27" t="n">
        <v>8.465</v>
      </c>
      <c r="D6" s="27" t="n">
        <v>9.178999999999998</v>
      </c>
      <c r="E6" s="27" t="n">
        <v>26.689</v>
      </c>
      <c r="F6" t="inlineStr">
        <is>
          <t>25-30</t>
        </is>
      </c>
      <c r="G6" s="27" t="n">
        <v>-3.311</v>
      </c>
      <c r="H6" t="inlineStr">
        <is>
          <t>Within target range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10"/>
  <sheetViews>
    <sheetView workbookViewId="0">
      <selection activeCell="A1" sqref="A1"/>
    </sheetView>
  </sheetViews>
  <sheetFormatPr baseColWidth="8" defaultColWidth="12.63" defaultRowHeight="15.75" customHeight="1"/>
  <cols>
    <col width="3" customWidth="1" style="26" min="1" max="1"/>
    <col width="14.25" customWidth="1" style="26" min="2" max="2"/>
    <col width="13" customWidth="1" style="26" min="3" max="7"/>
    <col width="23.38" customWidth="1" style="26" min="8" max="8"/>
    <col width="21.63" customWidth="1" style="26" min="9" max="9"/>
    <col width="13" customWidth="1" style="26" min="10" max="10"/>
    <col width="2.5" customWidth="1" style="26" min="11" max="11"/>
  </cols>
  <sheetData>
    <row r="1">
      <c r="A1" s="1" t="n"/>
      <c r="B1" s="1" t="n"/>
    </row>
    <row r="2">
      <c r="A2" s="1" t="n"/>
      <c r="B2" s="2" t="inlineStr">
        <is>
          <t>OVERALL</t>
        </is>
      </c>
      <c r="C2" s="28" t="n"/>
      <c r="D2" s="28" t="n"/>
      <c r="E2" s="28" t="n"/>
      <c r="F2" s="28" t="n"/>
      <c r="G2" s="28" t="n"/>
      <c r="H2" s="28" t="n"/>
      <c r="I2" s="28" t="n"/>
      <c r="J2" s="28" t="n"/>
      <c r="K2" s="29" t="n"/>
    </row>
    <row r="3">
      <c r="A3" s="1" t="n"/>
      <c r="B3" s="5" t="n"/>
      <c r="C3" s="6" t="n"/>
      <c r="D3" s="6" t="n"/>
      <c r="E3" s="6" t="n"/>
      <c r="F3" s="6" t="n"/>
      <c r="G3" s="6" t="n"/>
      <c r="H3" s="6" t="n"/>
      <c r="I3" s="6" t="n"/>
      <c r="J3" s="6" t="n"/>
      <c r="K3" s="30" t="n"/>
    </row>
    <row r="4">
      <c r="A4" s="1" t="n"/>
      <c r="B4" s="8" t="inlineStr">
        <is>
          <t>NUTRIENT</t>
        </is>
      </c>
      <c r="C4" s="8" t="inlineStr">
        <is>
          <t>BREAKFAST</t>
        </is>
      </c>
      <c r="D4" s="8" t="inlineStr">
        <is>
          <t>LUNCH</t>
        </is>
      </c>
      <c r="E4" s="8" t="inlineStr">
        <is>
          <t>DINNER</t>
        </is>
      </c>
      <c r="F4" s="8" t="inlineStr">
        <is>
          <t>OVERALL TOTAL</t>
        </is>
      </c>
      <c r="G4" s="8" t="inlineStr">
        <is>
          <t>TARGET TOTAL</t>
        </is>
      </c>
      <c r="H4" s="8" t="inlineStr">
        <is>
          <t>(EXCESS)/DEFICIENCY</t>
        </is>
      </c>
      <c r="I4" s="8" t="inlineStr">
        <is>
          <t>REMARKS</t>
        </is>
      </c>
      <c r="J4" s="8" t="inlineStr">
        <is>
          <t>NOTE</t>
        </is>
      </c>
      <c r="K4" s="30" t="n"/>
    </row>
    <row r="5">
      <c r="A5" s="1" t="n"/>
      <c r="B5" s="9" t="inlineStr">
        <is>
          <t>KCAL</t>
        </is>
      </c>
      <c r="C5" s="10">
        <f>BREAKFAST!K15</f>
        <v/>
      </c>
      <c r="D5" s="10">
        <f>LUNCH!K17</f>
        <v/>
      </c>
      <c r="E5" s="10">
        <f>DINNER!K16</f>
        <v/>
      </c>
      <c r="F5" s="10">
        <f>SUM(C5:E5)</f>
        <v/>
      </c>
      <c r="G5" s="10" t="n">
        <v>1800</v>
      </c>
      <c r="H5" s="10">
        <f>F5-G5</f>
        <v/>
      </c>
      <c r="I5" s="11">
        <f>IF(ABS(H5)&lt;=G5*0.03,"Within target range",IF(H5&gt;0,"Excess","Deficiency"))</f>
        <v/>
      </c>
      <c r="J5" s="10" t="inlineStr">
        <is>
          <t>If may "-" ibig sabihin sumobra, else within the target naman</t>
        </is>
      </c>
      <c r="K5" s="30" t="n"/>
    </row>
    <row r="6">
      <c r="A6" s="1" t="n"/>
      <c r="B6" s="9" t="inlineStr">
        <is>
          <t>PROTEIN</t>
        </is>
      </c>
      <c r="C6" s="10">
        <f>BREAKFAST!L15</f>
        <v/>
      </c>
      <c r="D6" s="10">
        <f>LUNCH!L17</f>
        <v/>
      </c>
      <c r="E6" s="10">
        <f>DINNER!L16</f>
        <v/>
      </c>
      <c r="F6" s="10">
        <f>SUM(C6:E6)</f>
        <v/>
      </c>
      <c r="G6" s="10" t="n">
        <v>90</v>
      </c>
      <c r="H6" s="10">
        <f>F6-G6</f>
        <v/>
      </c>
      <c r="I6" s="11">
        <f>IF(ABS(H6)&lt;=G6*0.03,"Within target range",IF(H6&gt;0,"Excess","Deficiency"))</f>
        <v/>
      </c>
      <c r="J6" s="30" t="n"/>
      <c r="K6" s="30" t="n"/>
    </row>
    <row r="7">
      <c r="A7" s="1" t="n"/>
      <c r="B7" s="9" t="inlineStr">
        <is>
          <t>CARBS</t>
        </is>
      </c>
      <c r="C7" s="10">
        <f>BREAKFAST!M15</f>
        <v/>
      </c>
      <c r="D7" s="10">
        <f>LUNCH!M17</f>
        <v/>
      </c>
      <c r="E7" s="10">
        <f>DINNER!M16</f>
        <v/>
      </c>
      <c r="F7" s="10">
        <f>SUM(C7:E7)</f>
        <v/>
      </c>
      <c r="G7" s="10" t="n">
        <v>225</v>
      </c>
      <c r="H7" s="10">
        <f>F7-G7</f>
        <v/>
      </c>
      <c r="I7" s="11">
        <f>IF(ABS(H7)&lt;=G7*0.03,"Within target range",IF(H7&gt;0,"Excess","Deficiency"))</f>
        <v/>
      </c>
      <c r="J7" s="30" t="n"/>
      <c r="K7" s="31" t="n"/>
    </row>
    <row r="8">
      <c r="A8" s="1" t="n"/>
      <c r="B8" s="9" t="inlineStr">
        <is>
          <t>FATS</t>
        </is>
      </c>
      <c r="C8" s="10">
        <f>BREAKFAST!N15</f>
        <v/>
      </c>
      <c r="D8" s="10">
        <f>LUNCH!N17</f>
        <v/>
      </c>
      <c r="E8" s="10">
        <f>DINNER!N16</f>
        <v/>
      </c>
      <c r="F8" s="10">
        <f>SUM(C8:E8)</f>
        <v/>
      </c>
      <c r="G8" s="10" t="n">
        <v>60</v>
      </c>
      <c r="H8" s="10">
        <f>F8-G8</f>
        <v/>
      </c>
      <c r="I8" s="11">
        <f>IF(ABS(H8)&lt;=G8*0.03,"Within target range",IF(H8&gt;0,"Excess","Deficiency"))</f>
        <v/>
      </c>
      <c r="J8" s="30" t="n"/>
      <c r="K8" s="14" t="n"/>
    </row>
    <row r="9">
      <c r="A9" s="1" t="n"/>
      <c r="B9" s="9" t="inlineStr">
        <is>
          <t>FIBER</t>
        </is>
      </c>
      <c r="C9" s="10">
        <f>BREAKFAST!O15</f>
        <v/>
      </c>
      <c r="D9" s="10">
        <f>LUNCH!O17</f>
        <v/>
      </c>
      <c r="E9" s="10">
        <f>DINNER!O16</f>
        <v/>
      </c>
      <c r="F9" s="10">
        <f>SUM(C9:E9)</f>
        <v/>
      </c>
      <c r="G9" s="10" t="n">
        <v>30</v>
      </c>
      <c r="H9" s="10">
        <f>F9-G9</f>
        <v/>
      </c>
      <c r="I9" s="11">
        <f>IF(AND(F9&gt;=25,F9&lt;=30),"Within target range",IF(F9&lt;25,"Deficiency","Excess"))</f>
        <v/>
      </c>
      <c r="J9" s="31" t="n"/>
      <c r="K9" s="15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</sheetData>
  <mergeCells count="4">
    <mergeCell ref="K2:K7"/>
    <mergeCell ref="J5:J9"/>
    <mergeCell ref="B1:K1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Q16"/>
  <sheetViews>
    <sheetView workbookViewId="0">
      <selection activeCell="A1" sqref="A1"/>
    </sheetView>
  </sheetViews>
  <sheetFormatPr baseColWidth="8" defaultColWidth="12.63" defaultRowHeight="15.75" customHeight="1"/>
  <cols>
    <col width="3" customWidth="1" style="26" min="1" max="1"/>
    <col width="14.25" customWidth="1" style="26" min="2" max="4"/>
    <col width="13" customWidth="1" style="26" min="5" max="9"/>
    <col width="2.5" customWidth="1" style="26" min="10" max="10"/>
    <col width="13" customWidth="1" style="26" min="11" max="15"/>
    <col width="14.25" customWidth="1" style="26" min="16" max="16"/>
    <col width="2.88" customWidth="1" style="26" min="17" max="17"/>
  </cols>
  <sheetData>
    <row r="1">
      <c r="A1" s="1" t="n"/>
      <c r="B1" s="1" t="n"/>
    </row>
    <row r="2">
      <c r="A2" s="1" t="n"/>
      <c r="B2" s="2" t="inlineStr">
        <is>
          <t>BREAKFAST</t>
        </is>
      </c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16" t="n"/>
    </row>
    <row r="3">
      <c r="A3" s="1" t="n"/>
      <c r="B3" s="5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16" t="n"/>
    </row>
    <row r="4">
      <c r="A4" s="1" t="n"/>
      <c r="B4" s="8" t="inlineStr">
        <is>
          <t>INGREDIENT</t>
        </is>
      </c>
      <c r="C4" s="8" t="inlineStr">
        <is>
          <t>PORTION IN GRAMS (g)</t>
        </is>
      </c>
      <c r="D4" s="32" t="n"/>
      <c r="E4" s="8" t="inlineStr">
        <is>
          <t>PHILFCT NUTRIENT VALUE PER 100G (FIXED)</t>
        </is>
      </c>
      <c r="F4" s="28" t="n"/>
      <c r="G4" s="28" t="n"/>
      <c r="H4" s="28" t="n"/>
      <c r="I4" s="32" t="n"/>
      <c r="J4" s="29" t="n"/>
      <c r="K4" s="17" t="inlineStr">
        <is>
          <t>OVERALL TOTAL</t>
        </is>
      </c>
      <c r="L4" s="33" t="n"/>
      <c r="M4" s="33" t="n"/>
      <c r="N4" s="33" t="n"/>
      <c r="O4" s="34" t="n"/>
      <c r="P4" s="8" t="inlineStr">
        <is>
          <t>REMARKS</t>
        </is>
      </c>
      <c r="Q4" s="16" t="n"/>
    </row>
    <row r="5">
      <c r="A5" s="1" t="n"/>
      <c r="B5" s="31" t="n"/>
      <c r="C5" s="8" t="inlineStr">
        <is>
          <t>RAW VALUE</t>
        </is>
      </c>
      <c r="D5" s="8" t="inlineStr">
        <is>
          <t>DIVIDED BY 100</t>
        </is>
      </c>
      <c r="E5" s="8" t="inlineStr">
        <is>
          <t>KCAL</t>
        </is>
      </c>
      <c r="F5" s="8" t="inlineStr">
        <is>
          <t>PROTEIN</t>
        </is>
      </c>
      <c r="G5" s="8" t="inlineStr">
        <is>
          <t>CARBS</t>
        </is>
      </c>
      <c r="H5" s="8" t="inlineStr">
        <is>
          <t>FATS</t>
        </is>
      </c>
      <c r="I5" s="8" t="inlineStr">
        <is>
          <t>FIBER</t>
        </is>
      </c>
      <c r="J5" s="30" t="n"/>
      <c r="K5" s="8" t="inlineStr">
        <is>
          <t>KCAL</t>
        </is>
      </c>
      <c r="L5" s="8" t="inlineStr">
        <is>
          <t>PROTEIN</t>
        </is>
      </c>
      <c r="M5" s="8" t="inlineStr">
        <is>
          <t>CARBS</t>
        </is>
      </c>
      <c r="N5" s="8" t="inlineStr">
        <is>
          <t>FATS</t>
        </is>
      </c>
      <c r="O5" s="8" t="inlineStr">
        <is>
          <t>FIBER</t>
        </is>
      </c>
      <c r="P5" s="31" t="n"/>
      <c r="Q5" s="16" t="n"/>
    </row>
    <row r="6">
      <c r="A6" s="1" t="n"/>
      <c r="B6" s="9" t="inlineStr">
        <is>
          <t>Cooked white rice</t>
        </is>
      </c>
      <c r="C6" s="10" t="n">
        <v>100</v>
      </c>
      <c r="D6" s="23">
        <f>C6/100</f>
        <v/>
      </c>
      <c r="E6" s="10" t="n">
        <v>129</v>
      </c>
      <c r="F6" s="10" t="n">
        <v>2.1</v>
      </c>
      <c r="G6" s="10" t="n">
        <v>29.7</v>
      </c>
      <c r="H6" s="10" t="n">
        <v>0.2</v>
      </c>
      <c r="I6" s="10" t="n">
        <v>0.4</v>
      </c>
      <c r="J6" s="30" t="n"/>
      <c r="K6" s="23">
        <f>D6*E6</f>
        <v/>
      </c>
      <c r="L6" s="23">
        <f>D6*F6</f>
        <v/>
      </c>
      <c r="M6" s="23">
        <f>D6*G6</f>
        <v/>
      </c>
      <c r="N6" s="23">
        <f>D6*H6</f>
        <v/>
      </c>
      <c r="O6" s="23">
        <f>D6*I6</f>
        <v/>
      </c>
      <c r="P6" s="23" t="n"/>
      <c r="Q6" s="16" t="n"/>
    </row>
    <row r="7">
      <c r="A7" s="1" t="n"/>
      <c r="B7" s="9" t="inlineStr">
        <is>
          <t>Egg, whole</t>
        </is>
      </c>
      <c r="C7" s="10" t="n">
        <v>50</v>
      </c>
      <c r="D7" s="23">
        <f>C7/100</f>
        <v/>
      </c>
      <c r="E7" s="10" t="n">
        <v>139</v>
      </c>
      <c r="F7" s="10" t="n">
        <v>12.3</v>
      </c>
      <c r="G7" s="10" t="n">
        <v>1.4</v>
      </c>
      <c r="H7" s="10" t="n">
        <v>9.4</v>
      </c>
      <c r="I7" s="10" t="n">
        <v>0</v>
      </c>
      <c r="J7" s="30" t="n"/>
      <c r="K7" s="23">
        <f>D7*E7</f>
        <v/>
      </c>
      <c r="L7" s="23">
        <f>D7*F7</f>
        <v/>
      </c>
      <c r="M7" s="23">
        <f>D7*G7</f>
        <v/>
      </c>
      <c r="N7" s="23">
        <f>D7*H7</f>
        <v/>
      </c>
      <c r="O7" s="23">
        <f>D7*I7</f>
        <v/>
      </c>
      <c r="P7" s="23" t="n"/>
      <c r="Q7" s="16" t="n"/>
    </row>
    <row r="8">
      <c r="A8" s="1" t="n"/>
      <c r="B8" s="9" t="inlineStr">
        <is>
          <t>Grilled eggplant</t>
        </is>
      </c>
      <c r="C8" s="10" t="n">
        <v>150</v>
      </c>
      <c r="D8" s="23">
        <f>C8/100</f>
        <v/>
      </c>
      <c r="E8" s="10" t="n">
        <v>29</v>
      </c>
      <c r="F8" s="10" t="n">
        <v>1.2</v>
      </c>
      <c r="G8" s="10" t="n">
        <v>5.5</v>
      </c>
      <c r="H8" s="10" t="n">
        <v>0.2</v>
      </c>
      <c r="I8" s="10" t="n">
        <v>1.6</v>
      </c>
      <c r="J8" s="30" t="n"/>
      <c r="K8" s="23">
        <f>D8*E8</f>
        <v/>
      </c>
      <c r="L8" s="23">
        <f>D8*F8</f>
        <v/>
      </c>
      <c r="M8" s="23">
        <f>D8*G8</f>
        <v/>
      </c>
      <c r="N8" s="23">
        <f>D8*H8</f>
        <v/>
      </c>
      <c r="O8" s="23">
        <f>D8*I8</f>
        <v/>
      </c>
      <c r="P8" s="23" t="n"/>
      <c r="Q8" s="16" t="n"/>
    </row>
    <row r="9">
      <c r="A9" s="1" t="n"/>
      <c r="B9" s="9" t="inlineStr">
        <is>
          <t>Tomato</t>
        </is>
      </c>
      <c r="C9" s="10" t="n">
        <v>85</v>
      </c>
      <c r="D9" s="23">
        <f>C9/100</f>
        <v/>
      </c>
      <c r="E9" s="10" t="n">
        <v>25</v>
      </c>
      <c r="F9" s="10" t="n">
        <v>0.8</v>
      </c>
      <c r="G9" s="10" t="n">
        <v>5.2</v>
      </c>
      <c r="H9" s="10" t="n">
        <v>0.1</v>
      </c>
      <c r="I9" s="10" t="n">
        <v>0.3</v>
      </c>
      <c r="J9" s="30" t="n"/>
      <c r="K9" s="23">
        <f>D9*E9</f>
        <v/>
      </c>
      <c r="L9" s="23">
        <f>D9*F9</f>
        <v/>
      </c>
      <c r="M9" s="23">
        <f>D9*G9</f>
        <v/>
      </c>
      <c r="N9" s="23">
        <f>D9*H9</f>
        <v/>
      </c>
      <c r="O9" s="23">
        <f>D9*I9</f>
        <v/>
      </c>
      <c r="P9" s="23" t="n"/>
      <c r="Q9" s="16" t="n"/>
    </row>
    <row r="10">
      <c r="A10" s="1" t="n"/>
      <c r="B10" s="9" t="inlineStr">
        <is>
          <t>Onion</t>
        </is>
      </c>
      <c r="C10" s="10" t="n">
        <v>30</v>
      </c>
      <c r="D10" s="23">
        <f>C10/100</f>
        <v/>
      </c>
      <c r="E10" s="10" t="n">
        <v>52</v>
      </c>
      <c r="F10" s="10" t="n">
        <v>1.7</v>
      </c>
      <c r="G10" s="10" t="n">
        <v>10.5</v>
      </c>
      <c r="H10" s="10" t="n">
        <v>0.3</v>
      </c>
      <c r="I10" s="10" t="n">
        <v>2</v>
      </c>
      <c r="J10" s="30" t="n"/>
      <c r="K10" s="23">
        <f>D10*E10</f>
        <v/>
      </c>
      <c r="L10" s="23">
        <f>D10*F10</f>
        <v/>
      </c>
      <c r="M10" s="23">
        <f>D10*G10</f>
        <v/>
      </c>
      <c r="N10" s="23">
        <f>D10*H10</f>
        <v/>
      </c>
      <c r="O10" s="23">
        <f>D10*I10</f>
        <v/>
      </c>
      <c r="P10" s="23" t="n"/>
      <c r="Q10" s="16" t="n"/>
    </row>
    <row r="11">
      <c r="A11" s="1" t="n"/>
      <c r="B11" s="9" t="inlineStr">
        <is>
          <t>Cooking oil</t>
        </is>
      </c>
      <c r="C11" s="10" t="n">
        <v>5</v>
      </c>
      <c r="D11" s="23">
        <f>C11/100</f>
        <v/>
      </c>
      <c r="E11" s="10" t="n">
        <v>896</v>
      </c>
      <c r="F11" s="10" t="n">
        <v>0</v>
      </c>
      <c r="G11" s="10" t="n">
        <v>0</v>
      </c>
      <c r="H11" s="10" t="n">
        <v>99.59999999999999</v>
      </c>
      <c r="I11" s="10" t="n">
        <v>0</v>
      </c>
      <c r="J11" s="30" t="n"/>
      <c r="K11" s="23">
        <f>D11*E11</f>
        <v/>
      </c>
      <c r="L11" s="23">
        <f>D11*F11</f>
        <v/>
      </c>
      <c r="M11" s="23">
        <f>D11*G11</f>
        <v/>
      </c>
      <c r="N11" s="23">
        <f>D11*H11</f>
        <v/>
      </c>
      <c r="O11" s="23">
        <f>D11*I11</f>
        <v/>
      </c>
      <c r="P11" s="23" t="n"/>
      <c r="Q11" s="16" t="n"/>
    </row>
    <row r="12">
      <c r="A12" s="1" t="n"/>
      <c r="B12" s="9" t="inlineStr">
        <is>
          <t>Banana</t>
        </is>
      </c>
      <c r="C12" s="10" t="n">
        <v>120</v>
      </c>
      <c r="D12" s="23">
        <f>C12/100</f>
        <v/>
      </c>
      <c r="E12" s="10" t="n">
        <v>104</v>
      </c>
      <c r="F12" s="10" t="n">
        <v>0.9</v>
      </c>
      <c r="G12" s="10" t="n">
        <v>23.1</v>
      </c>
      <c r="H12" s="10" t="n">
        <v>0.9</v>
      </c>
      <c r="I12" s="10" t="n">
        <v>2.7</v>
      </c>
      <c r="J12" s="30" t="n"/>
      <c r="K12" s="23">
        <f>D12*E12</f>
        <v/>
      </c>
      <c r="L12" s="23">
        <f>D12*F12</f>
        <v/>
      </c>
      <c r="M12" s="23">
        <f>D12*G12</f>
        <v/>
      </c>
      <c r="N12" s="23">
        <f>D12*H12</f>
        <v/>
      </c>
      <c r="O12" s="23">
        <f>D12*I12</f>
        <v/>
      </c>
      <c r="P12" s="23" t="n"/>
      <c r="Q12" s="16" t="n"/>
    </row>
    <row r="13">
      <c r="A13" s="1" t="n"/>
      <c r="B13" s="9" t="inlineStr">
        <is>
          <t>Roasted peanuts, unsalted</t>
        </is>
      </c>
      <c r="C13" s="10" t="n">
        <v>25</v>
      </c>
      <c r="D13" s="23">
        <f>C13/100</f>
        <v/>
      </c>
      <c r="E13" s="10" t="n">
        <v>617</v>
      </c>
      <c r="F13" s="10" t="n">
        <v>25.8</v>
      </c>
      <c r="G13" s="10" t="n">
        <v>17.1</v>
      </c>
      <c r="H13" s="10" t="n">
        <v>49.5</v>
      </c>
      <c r="I13" s="10" t="n">
        <v>8.6</v>
      </c>
      <c r="J13" s="31" t="n"/>
      <c r="K13" s="23">
        <f>D13*E13</f>
        <v/>
      </c>
      <c r="L13" s="23">
        <f>D13*F13</f>
        <v/>
      </c>
      <c r="M13" s="23">
        <f>D13*G13</f>
        <v/>
      </c>
      <c r="N13" s="23">
        <f>D13*H13</f>
        <v/>
      </c>
      <c r="O13" s="23">
        <f>D13*I13</f>
        <v/>
      </c>
      <c r="P13" s="23" t="n"/>
      <c r="Q13" s="16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6" t="n"/>
    </row>
    <row r="15">
      <c r="A15" s="1" t="n"/>
      <c r="B15" s="35" t="inlineStr">
        <is>
          <t>OVERALL TOTAL</t>
        </is>
      </c>
      <c r="C15" s="28" t="n"/>
      <c r="D15" s="28" t="n"/>
      <c r="E15" s="28" t="n"/>
      <c r="F15" s="28" t="n"/>
      <c r="G15" s="28" t="n"/>
      <c r="H15" s="28" t="n"/>
      <c r="I15" s="32" t="n"/>
      <c r="J15" s="1" t="n"/>
      <c r="K15" s="23">
        <f>SUM(K6:K13)</f>
        <v/>
      </c>
      <c r="L15" s="23">
        <f>SUM(L6:L13)</f>
        <v/>
      </c>
      <c r="M15" s="23">
        <f>SUM(M6:M13)</f>
        <v/>
      </c>
      <c r="N15" s="23">
        <f>SUM(N6:N13)</f>
        <v/>
      </c>
      <c r="O15" s="23">
        <f>SUM(O6:O13)</f>
        <v/>
      </c>
      <c r="P15" s="23" t="n"/>
      <c r="Q15" s="16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6" t="n"/>
    </row>
  </sheetData>
  <mergeCells count="9">
    <mergeCell ref="J4:J13"/>
    <mergeCell ref="E4:I4"/>
    <mergeCell ref="B2:P2"/>
    <mergeCell ref="B4:B5"/>
    <mergeCell ref="B15:I15"/>
    <mergeCell ref="B1:Q1"/>
    <mergeCell ref="P4:P5"/>
    <mergeCell ref="K4:O4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Q18"/>
  <sheetViews>
    <sheetView workbookViewId="0">
      <selection activeCell="A1" sqref="A1"/>
    </sheetView>
  </sheetViews>
  <sheetFormatPr baseColWidth="8" defaultColWidth="12.63" defaultRowHeight="15.75" customHeight="1"/>
  <cols>
    <col width="3" customWidth="1" style="26" min="1" max="1"/>
    <col width="14.25" customWidth="1" style="26" min="2" max="4"/>
    <col width="13" customWidth="1" style="26" min="5" max="9"/>
    <col width="2.5" customWidth="1" style="26" min="10" max="10"/>
    <col width="13" customWidth="1" style="26" min="11" max="15"/>
    <col width="14.25" customWidth="1" style="26" min="16" max="16"/>
    <col width="2.88" customWidth="1" style="26" min="17" max="17"/>
  </cols>
  <sheetData>
    <row r="1">
      <c r="A1" s="1" t="n"/>
      <c r="B1" s="1" t="n"/>
    </row>
    <row r="2">
      <c r="A2" s="1" t="n"/>
      <c r="B2" s="2" t="inlineStr">
        <is>
          <t>LUNCH</t>
        </is>
      </c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16" t="n"/>
    </row>
    <row r="3">
      <c r="A3" s="1" t="n"/>
      <c r="B3" s="5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16" t="n"/>
    </row>
    <row r="4">
      <c r="A4" s="1" t="n"/>
      <c r="B4" s="8" t="inlineStr">
        <is>
          <t>INGREDIENT</t>
        </is>
      </c>
      <c r="C4" s="8" t="inlineStr">
        <is>
          <t>PORTION IN GRAMS (g)</t>
        </is>
      </c>
      <c r="D4" s="32" t="n"/>
      <c r="E4" s="8" t="inlineStr">
        <is>
          <t>PHILFCT NUTRIENT VALUE PER 100G (FIXED)</t>
        </is>
      </c>
      <c r="F4" s="28" t="n"/>
      <c r="G4" s="28" t="n"/>
      <c r="H4" s="28" t="n"/>
      <c r="I4" s="32" t="n"/>
      <c r="J4" s="29" t="n"/>
      <c r="K4" s="17" t="inlineStr">
        <is>
          <t>OVERALL TOTAL</t>
        </is>
      </c>
      <c r="L4" s="33" t="n"/>
      <c r="M4" s="33" t="n"/>
      <c r="N4" s="33" t="n"/>
      <c r="O4" s="34" t="n"/>
      <c r="P4" s="8" t="inlineStr">
        <is>
          <t>REMARKS</t>
        </is>
      </c>
      <c r="Q4" s="16" t="n"/>
    </row>
    <row r="5">
      <c r="A5" s="1" t="n"/>
      <c r="B5" s="31" t="n"/>
      <c r="C5" s="8" t="inlineStr">
        <is>
          <t>RAW VALUE</t>
        </is>
      </c>
      <c r="D5" s="8" t="inlineStr">
        <is>
          <t>DIVIDED BY 100</t>
        </is>
      </c>
      <c r="E5" s="8" t="inlineStr">
        <is>
          <t>KCAL</t>
        </is>
      </c>
      <c r="F5" s="8" t="inlineStr">
        <is>
          <t>PROTEIN</t>
        </is>
      </c>
      <c r="G5" s="8" t="inlineStr">
        <is>
          <t>CARBS</t>
        </is>
      </c>
      <c r="H5" s="8" t="inlineStr">
        <is>
          <t>FATS</t>
        </is>
      </c>
      <c r="I5" s="8" t="inlineStr">
        <is>
          <t>FIBER</t>
        </is>
      </c>
      <c r="J5" s="30" t="n"/>
      <c r="K5" s="8" t="inlineStr">
        <is>
          <t>KCAL</t>
        </is>
      </c>
      <c r="L5" s="8" t="inlineStr">
        <is>
          <t>PROTEIN</t>
        </is>
      </c>
      <c r="M5" s="8" t="inlineStr">
        <is>
          <t>CARBS</t>
        </is>
      </c>
      <c r="N5" s="8" t="inlineStr">
        <is>
          <t>FATS</t>
        </is>
      </c>
      <c r="O5" s="8" t="inlineStr">
        <is>
          <t>FIBER</t>
        </is>
      </c>
      <c r="P5" s="31" t="n"/>
      <c r="Q5" s="16" t="n"/>
    </row>
    <row r="6">
      <c r="A6" s="1" t="n"/>
      <c r="B6" s="25" t="inlineStr">
        <is>
          <t>Cooked white rice</t>
        </is>
      </c>
      <c r="C6" s="10" t="n">
        <v>105</v>
      </c>
      <c r="D6" s="23">
        <f>C6/100</f>
        <v/>
      </c>
      <c r="E6" s="10" t="n">
        <v>129</v>
      </c>
      <c r="F6" s="10" t="n">
        <v>2.1</v>
      </c>
      <c r="G6" s="10" t="n">
        <v>29.7</v>
      </c>
      <c r="H6" s="10" t="n">
        <v>0.2</v>
      </c>
      <c r="I6" s="10" t="n">
        <v>0.4</v>
      </c>
      <c r="J6" s="30" t="n"/>
      <c r="K6" s="23">
        <f>D6*E6</f>
        <v/>
      </c>
      <c r="L6" s="23">
        <f>D6*F6</f>
        <v/>
      </c>
      <c r="M6" s="23">
        <f>D6*G6</f>
        <v/>
      </c>
      <c r="N6" s="23">
        <f>D6*H6</f>
        <v/>
      </c>
      <c r="O6" s="23">
        <f>D6*I6</f>
        <v/>
      </c>
      <c r="P6" s="23" t="n"/>
      <c r="Q6" s="16" t="n"/>
    </row>
    <row r="7">
      <c r="A7" s="1" t="n"/>
      <c r="B7" s="25" t="inlineStr">
        <is>
          <t>Grilled chicken breast, cooked edible portion</t>
        </is>
      </c>
      <c r="C7" s="10" t="n">
        <v>110</v>
      </c>
      <c r="D7" s="23">
        <f>C7/100</f>
        <v/>
      </c>
      <c r="E7" s="10" t="n">
        <v>131</v>
      </c>
      <c r="F7" s="10" t="n">
        <v>21.6</v>
      </c>
      <c r="G7" s="10" t="n">
        <v>0</v>
      </c>
      <c r="H7" s="10" t="n">
        <v>5</v>
      </c>
      <c r="I7" s="10" t="n">
        <v>0</v>
      </c>
      <c r="J7" s="30" t="n"/>
      <c r="K7" s="23">
        <f>D7*E7</f>
        <v/>
      </c>
      <c r="L7" s="23">
        <f>D7*F7</f>
        <v/>
      </c>
      <c r="M7" s="23">
        <f>D7*G7</f>
        <v/>
      </c>
      <c r="N7" s="23">
        <f>D7*H7</f>
        <v/>
      </c>
      <c r="O7" s="23">
        <f>D7*I7</f>
        <v/>
      </c>
      <c r="P7" s="23" t="n"/>
      <c r="Q7" s="16" t="n"/>
    </row>
    <row r="8">
      <c r="A8" s="1" t="n"/>
      <c r="B8" s="25" t="inlineStr">
        <is>
          <t>Kalabasa/squash</t>
        </is>
      </c>
      <c r="C8" s="10" t="n">
        <v>120</v>
      </c>
      <c r="D8" s="23">
        <f>C8/100</f>
        <v/>
      </c>
      <c r="E8" s="10" t="n">
        <v>47</v>
      </c>
      <c r="F8" s="10" t="n">
        <v>0.4</v>
      </c>
      <c r="G8" s="10" t="n">
        <v>10.8</v>
      </c>
      <c r="H8" s="10" t="n">
        <v>0.2</v>
      </c>
      <c r="I8" s="10" t="n">
        <v>1.1</v>
      </c>
      <c r="J8" s="30" t="n"/>
      <c r="K8" s="23">
        <f>D8*E8</f>
        <v/>
      </c>
      <c r="L8" s="23">
        <f>D8*F8</f>
        <v/>
      </c>
      <c r="M8" s="23">
        <f>D8*G8</f>
        <v/>
      </c>
      <c r="N8" s="23">
        <f>D8*H8</f>
        <v/>
      </c>
      <c r="O8" s="23">
        <f>D8*I8</f>
        <v/>
      </c>
      <c r="P8" s="23" t="n"/>
      <c r="Q8" s="16" t="n"/>
    </row>
    <row r="9">
      <c r="A9" s="1" t="n"/>
      <c r="B9" s="25" t="inlineStr">
        <is>
          <t>Okra</t>
        </is>
      </c>
      <c r="C9" s="10" t="n">
        <v>70</v>
      </c>
      <c r="D9" s="23">
        <f>C9/100</f>
        <v/>
      </c>
      <c r="E9" s="10" t="n">
        <v>30</v>
      </c>
      <c r="F9" s="10" t="n">
        <v>1</v>
      </c>
      <c r="G9" s="10" t="n">
        <v>6.1</v>
      </c>
      <c r="H9" s="10" t="n">
        <v>0.2</v>
      </c>
      <c r="I9" s="10" t="n">
        <v>2.6</v>
      </c>
      <c r="J9" s="30" t="n"/>
      <c r="K9" s="23">
        <f>D9*E9</f>
        <v/>
      </c>
      <c r="L9" s="23">
        <f>D9*F9</f>
        <v/>
      </c>
      <c r="M9" s="23">
        <f>D9*G9</f>
        <v/>
      </c>
      <c r="N9" s="23">
        <f>D9*H9</f>
        <v/>
      </c>
      <c r="O9" s="23">
        <f>D9*I9</f>
        <v/>
      </c>
      <c r="P9" s="23" t="n"/>
      <c r="Q9" s="16" t="n"/>
    </row>
    <row r="10">
      <c r="A10" s="1" t="n"/>
      <c r="B10" s="25" t="inlineStr">
        <is>
          <t>Sitaw/string beans</t>
        </is>
      </c>
      <c r="C10" s="10" t="n">
        <v>70</v>
      </c>
      <c r="D10" s="23">
        <f>C10/100</f>
        <v/>
      </c>
      <c r="E10" s="10" t="n">
        <v>52</v>
      </c>
      <c r="F10" s="10" t="n">
        <v>4</v>
      </c>
      <c r="G10" s="10" t="n">
        <v>7.9</v>
      </c>
      <c r="H10" s="10" t="n">
        <v>0.5</v>
      </c>
      <c r="I10" s="10" t="n">
        <v>2.7</v>
      </c>
      <c r="J10" s="30" t="n"/>
      <c r="K10" s="23">
        <f>D10*E10</f>
        <v/>
      </c>
      <c r="L10" s="23">
        <f>D10*F10</f>
        <v/>
      </c>
      <c r="M10" s="23">
        <f>D10*G10</f>
        <v/>
      </c>
      <c r="N10" s="23">
        <f>D10*H10</f>
        <v/>
      </c>
      <c r="O10" s="23">
        <f>D10*I10</f>
        <v/>
      </c>
      <c r="P10" s="23" t="n"/>
      <c r="Q10" s="16" t="n"/>
    </row>
    <row r="11">
      <c r="A11" s="1" t="n"/>
      <c r="B11" s="25" t="inlineStr">
        <is>
          <t>Eggplant</t>
        </is>
      </c>
      <c r="C11" s="10" t="n">
        <v>55</v>
      </c>
      <c r="D11" s="23">
        <f>C11/100</f>
        <v/>
      </c>
      <c r="E11" s="10" t="n">
        <v>25</v>
      </c>
      <c r="F11" s="10" t="n">
        <v>1</v>
      </c>
      <c r="G11" s="10" t="n">
        <v>4.9</v>
      </c>
      <c r="H11" s="10" t="n">
        <v>0.1</v>
      </c>
      <c r="I11" s="10" t="n">
        <v>1.5</v>
      </c>
      <c r="J11" s="30" t="n"/>
      <c r="K11" s="23">
        <f>D11*E11</f>
        <v/>
      </c>
      <c r="L11" s="23">
        <f>D11*F11</f>
        <v/>
      </c>
      <c r="M11" s="23">
        <f>D11*G11</f>
        <v/>
      </c>
      <c r="N11" s="23">
        <f>D11*H11</f>
        <v/>
      </c>
      <c r="O11" s="23">
        <f>D11*I11</f>
        <v/>
      </c>
      <c r="P11" s="23" t="n"/>
      <c r="Q11" s="16" t="n"/>
    </row>
    <row r="12">
      <c r="A12" s="1" t="n"/>
      <c r="B12" s="25" t="inlineStr">
        <is>
          <t>Tomato</t>
        </is>
      </c>
      <c r="C12" s="10" t="n">
        <v>70</v>
      </c>
      <c r="D12" s="23">
        <f>C12/100</f>
        <v/>
      </c>
      <c r="E12" s="10" t="n">
        <v>25</v>
      </c>
      <c r="F12" s="10" t="n">
        <v>0.4</v>
      </c>
      <c r="G12" s="10" t="n">
        <v>5.6</v>
      </c>
      <c r="H12" s="10" t="n">
        <v>0.1</v>
      </c>
      <c r="I12" s="10" t="n">
        <v>0.3</v>
      </c>
      <c r="J12" s="30" t="n"/>
      <c r="K12" s="23">
        <f>D12*E12</f>
        <v/>
      </c>
      <c r="L12" s="23">
        <f>D12*F12</f>
        <v/>
      </c>
      <c r="M12" s="23">
        <f>D12*G12</f>
        <v/>
      </c>
      <c r="N12" s="23">
        <f>D12*H12</f>
        <v/>
      </c>
      <c r="O12" s="23">
        <f>D12*I12</f>
        <v/>
      </c>
      <c r="P12" s="23" t="n"/>
      <c r="Q12" s="16" t="n"/>
    </row>
    <row r="13">
      <c r="A13" s="1" t="n"/>
      <c r="B13" s="25" t="inlineStr">
        <is>
          <t>Onion</t>
        </is>
      </c>
      <c r="C13" s="10" t="n">
        <v>30</v>
      </c>
      <c r="D13" s="23">
        <f>C13/100</f>
        <v/>
      </c>
      <c r="E13" s="10" t="n">
        <v>62</v>
      </c>
      <c r="F13" s="10" t="n">
        <v>1.1</v>
      </c>
      <c r="G13" s="10" t="n">
        <v>13.3</v>
      </c>
      <c r="H13" s="10" t="n">
        <v>0.5</v>
      </c>
      <c r="I13" s="10" t="n">
        <v>2.4</v>
      </c>
      <c r="J13" s="30" t="n"/>
      <c r="K13" s="23">
        <f>D13*E13</f>
        <v/>
      </c>
      <c r="L13" s="23">
        <f>D13*F13</f>
        <v/>
      </c>
      <c r="M13" s="23">
        <f>D13*G13</f>
        <v/>
      </c>
      <c r="N13" s="23">
        <f>D13*H13</f>
        <v/>
      </c>
      <c r="O13" s="23">
        <f>D13*I13</f>
        <v/>
      </c>
      <c r="P13" s="23" t="n"/>
      <c r="Q13" s="16" t="n"/>
    </row>
    <row r="14">
      <c r="A14" s="1" t="n"/>
      <c r="B14" s="25" t="inlineStr">
        <is>
          <t>Cooking oil</t>
        </is>
      </c>
      <c r="C14" s="10" t="n">
        <v>9</v>
      </c>
      <c r="D14" s="23">
        <f>C14/100</f>
        <v/>
      </c>
      <c r="E14" s="10" t="n">
        <v>896</v>
      </c>
      <c r="F14" s="10" t="n">
        <v>0</v>
      </c>
      <c r="G14" s="10" t="n">
        <v>0</v>
      </c>
      <c r="H14" s="10" t="n">
        <v>99.59999999999999</v>
      </c>
      <c r="I14" s="10" t="n">
        <v>0</v>
      </c>
      <c r="J14" s="30" t="n"/>
      <c r="K14" s="23">
        <f>D14*E14</f>
        <v/>
      </c>
      <c r="L14" s="23">
        <f>D14*F14</f>
        <v/>
      </c>
      <c r="M14" s="23">
        <f>D14*G14</f>
        <v/>
      </c>
      <c r="N14" s="23">
        <f>D14*H14</f>
        <v/>
      </c>
      <c r="O14" s="23">
        <f>D14*I14</f>
        <v/>
      </c>
      <c r="P14" s="23" t="n"/>
      <c r="Q14" s="16" t="n"/>
    </row>
    <row r="15">
      <c r="A15" s="1" t="n"/>
      <c r="B15" s="25" t="inlineStr">
        <is>
          <t>Papaya</t>
        </is>
      </c>
      <c r="C15" s="10" t="n">
        <v>180</v>
      </c>
      <c r="D15" s="23">
        <f>C15/100</f>
        <v/>
      </c>
      <c r="E15" s="10" t="n">
        <v>24</v>
      </c>
      <c r="F15" s="10" t="n">
        <v>0.7</v>
      </c>
      <c r="G15" s="10" t="n">
        <v>4.9</v>
      </c>
      <c r="H15" s="10" t="n">
        <v>0.2</v>
      </c>
      <c r="I15" s="10" t="n">
        <v>0.7</v>
      </c>
      <c r="J15" s="31" t="n"/>
      <c r="K15" s="23">
        <f>D15*E15</f>
        <v/>
      </c>
      <c r="L15" s="23">
        <f>D15*F15</f>
        <v/>
      </c>
      <c r="M15" s="23">
        <f>D15*G15</f>
        <v/>
      </c>
      <c r="N15" s="23">
        <f>D15*H15</f>
        <v/>
      </c>
      <c r="O15" s="23">
        <f>D15*I15</f>
        <v/>
      </c>
      <c r="P15" s="23" t="n"/>
      <c r="Q15" s="16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6" t="n"/>
    </row>
    <row r="17">
      <c r="A17" s="1" t="n"/>
      <c r="B17" s="35" t="inlineStr">
        <is>
          <t>OVERALL TOTAL</t>
        </is>
      </c>
      <c r="C17" s="28" t="n"/>
      <c r="D17" s="28" t="n"/>
      <c r="E17" s="28" t="n"/>
      <c r="F17" s="28" t="n"/>
      <c r="G17" s="28" t="n"/>
      <c r="H17" s="28" t="n"/>
      <c r="I17" s="32" t="n"/>
      <c r="J17" s="1" t="n"/>
      <c r="K17" s="23">
        <f>SUM(K6:K15)</f>
        <v/>
      </c>
      <c r="L17" s="23">
        <f>SUM(L6:L15)</f>
        <v/>
      </c>
      <c r="M17" s="23">
        <f>SUM(M6:M15)</f>
        <v/>
      </c>
      <c r="N17" s="23">
        <f>SUM(N6:N15)</f>
        <v/>
      </c>
      <c r="O17" s="23">
        <f>SUM(O6:O15)</f>
        <v/>
      </c>
      <c r="P17" s="23" t="n"/>
      <c r="Q17" s="16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6" t="n"/>
    </row>
  </sheetData>
  <mergeCells count="9">
    <mergeCell ref="B4:B5"/>
    <mergeCell ref="B2:P2"/>
    <mergeCell ref="E4:I4"/>
    <mergeCell ref="K4:O4"/>
    <mergeCell ref="B1:Q1"/>
    <mergeCell ref="C4:D4"/>
    <mergeCell ref="P4:P5"/>
    <mergeCell ref="J4:J15"/>
    <mergeCell ref="B17:I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Q17"/>
  <sheetViews>
    <sheetView workbookViewId="0">
      <selection activeCell="A1" sqref="A1"/>
    </sheetView>
  </sheetViews>
  <sheetFormatPr baseColWidth="8" defaultColWidth="12.63" defaultRowHeight="15.75" customHeight="1"/>
  <cols>
    <col width="3" customWidth="1" style="26" min="1" max="1"/>
    <col width="14.25" customWidth="1" style="26" min="2" max="4"/>
    <col width="13" customWidth="1" style="26" min="5" max="9"/>
    <col width="2.5" customWidth="1" style="26" min="10" max="10"/>
    <col width="13" customWidth="1" style="26" min="11" max="15"/>
    <col width="14.25" customWidth="1" style="26" min="16" max="16"/>
    <col width="2.88" customWidth="1" style="26" min="17" max="17"/>
  </cols>
  <sheetData>
    <row r="1">
      <c r="A1" s="1" t="n"/>
      <c r="B1" s="1" t="n"/>
    </row>
    <row r="2">
      <c r="A2" s="1" t="n"/>
      <c r="B2" s="2" t="inlineStr">
        <is>
          <t>DINNER</t>
        </is>
      </c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16" t="n"/>
    </row>
    <row r="3">
      <c r="A3" s="1" t="n"/>
      <c r="B3" s="5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16" t="n"/>
    </row>
    <row r="4">
      <c r="A4" s="1" t="n"/>
      <c r="B4" s="8" t="inlineStr">
        <is>
          <t>INGREDIENT</t>
        </is>
      </c>
      <c r="C4" s="8" t="inlineStr">
        <is>
          <t>PORTION IN GRAMS (g)</t>
        </is>
      </c>
      <c r="D4" s="32" t="n"/>
      <c r="E4" s="8" t="inlineStr">
        <is>
          <t>PHILFCT NUTRIENT VALUE PER 100G (FIXED)</t>
        </is>
      </c>
      <c r="F4" s="28" t="n"/>
      <c r="G4" s="28" t="n"/>
      <c r="H4" s="28" t="n"/>
      <c r="I4" s="32" t="n"/>
      <c r="J4" s="29" t="n"/>
      <c r="K4" s="17" t="inlineStr">
        <is>
          <t>OVERALL TOTAL</t>
        </is>
      </c>
      <c r="L4" s="33" t="n"/>
      <c r="M4" s="33" t="n"/>
      <c r="N4" s="33" t="n"/>
      <c r="O4" s="34" t="n"/>
      <c r="P4" s="8" t="inlineStr">
        <is>
          <t>REMARKS</t>
        </is>
      </c>
      <c r="Q4" s="16" t="n"/>
    </row>
    <row r="5">
      <c r="A5" s="1" t="n"/>
      <c r="B5" s="31" t="n"/>
      <c r="C5" s="8" t="inlineStr">
        <is>
          <t>RAW VALUE</t>
        </is>
      </c>
      <c r="D5" s="8" t="inlineStr">
        <is>
          <t>DIVIDED BY 100</t>
        </is>
      </c>
      <c r="E5" s="8" t="inlineStr">
        <is>
          <t>KCAL</t>
        </is>
      </c>
      <c r="F5" s="8" t="inlineStr">
        <is>
          <t>PROTEIN</t>
        </is>
      </c>
      <c r="G5" s="8" t="inlineStr">
        <is>
          <t>CARBS</t>
        </is>
      </c>
      <c r="H5" s="8" t="inlineStr">
        <is>
          <t>FATS</t>
        </is>
      </c>
      <c r="I5" s="8" t="inlineStr">
        <is>
          <t>FIBER</t>
        </is>
      </c>
      <c r="J5" s="30" t="n"/>
      <c r="K5" s="8" t="inlineStr">
        <is>
          <t>KCAL</t>
        </is>
      </c>
      <c r="L5" s="8" t="inlineStr">
        <is>
          <t>PROTEIN</t>
        </is>
      </c>
      <c r="M5" s="8" t="inlineStr">
        <is>
          <t>CARBS</t>
        </is>
      </c>
      <c r="N5" s="8" t="inlineStr">
        <is>
          <t>FATS</t>
        </is>
      </c>
      <c r="O5" s="8" t="inlineStr">
        <is>
          <t>FIBER</t>
        </is>
      </c>
      <c r="P5" s="31" t="n"/>
      <c r="Q5" s="16" t="n"/>
    </row>
    <row r="6">
      <c r="A6" s="1" t="n"/>
      <c r="B6" s="9" t="inlineStr">
        <is>
          <t>Cooked white rice</t>
        </is>
      </c>
      <c r="C6" s="10" t="n">
        <v>100</v>
      </c>
      <c r="D6" s="23">
        <f>C6/100</f>
        <v/>
      </c>
      <c r="E6" s="10" t="n">
        <v>129</v>
      </c>
      <c r="F6" s="10" t="n">
        <v>2.1</v>
      </c>
      <c r="G6" s="10" t="n">
        <v>29.7</v>
      </c>
      <c r="H6" s="10" t="n">
        <v>0.2</v>
      </c>
      <c r="I6" s="10" t="n">
        <v>0.4</v>
      </c>
      <c r="J6" s="30" t="n"/>
      <c r="K6" s="23">
        <f>D6*E6</f>
        <v/>
      </c>
      <c r="L6" s="23">
        <f>D6*F6</f>
        <v/>
      </c>
      <c r="M6" s="23">
        <f>D6*G6</f>
        <v/>
      </c>
      <c r="N6" s="23">
        <f>D6*H6</f>
        <v/>
      </c>
      <c r="O6" s="23">
        <f>D6*I6</f>
        <v/>
      </c>
      <c r="P6" s="23" t="n"/>
      <c r="Q6" s="16" t="n"/>
    </row>
    <row r="7">
      <c r="A7" s="1" t="n"/>
      <c r="B7" s="9" t="inlineStr">
        <is>
          <t>Grilled bangus/milkfish, cooked edible portion</t>
        </is>
      </c>
      <c r="C7" s="10" t="n">
        <v>95</v>
      </c>
      <c r="D7" s="23">
        <f>C7/100</f>
        <v/>
      </c>
      <c r="E7" s="10" t="n">
        <v>137</v>
      </c>
      <c r="F7" s="10" t="n">
        <v>23.4</v>
      </c>
      <c r="G7" s="10" t="n">
        <v>0</v>
      </c>
      <c r="H7" s="10" t="n">
        <v>4.8</v>
      </c>
      <c r="I7" s="10" t="n">
        <v>0</v>
      </c>
      <c r="J7" s="30" t="n"/>
      <c r="K7" s="23">
        <f>D7*E7</f>
        <v/>
      </c>
      <c r="L7" s="23">
        <f>D7*F7</f>
        <v/>
      </c>
      <c r="M7" s="23">
        <f>D7*G7</f>
        <v/>
      </c>
      <c r="N7" s="23">
        <f>D7*H7</f>
        <v/>
      </c>
      <c r="O7" s="23">
        <f>D7*I7</f>
        <v/>
      </c>
      <c r="P7" s="23" t="n"/>
      <c r="Q7" s="16" t="n"/>
    </row>
    <row r="8">
      <c r="A8" s="1" t="n"/>
      <c r="B8" s="9" t="inlineStr">
        <is>
          <t>Cooked munggo/mung beans</t>
        </is>
      </c>
      <c r="C8" s="10" t="n">
        <v>150</v>
      </c>
      <c r="D8" s="23">
        <f>C8/100</f>
        <v/>
      </c>
      <c r="E8" s="10" t="n">
        <v>54</v>
      </c>
      <c r="F8" s="10" t="n">
        <v>4.8</v>
      </c>
      <c r="G8" s="10" t="n">
        <v>7</v>
      </c>
      <c r="H8" s="10" t="n">
        <v>0.5</v>
      </c>
      <c r="I8" s="10" t="n">
        <v>1.6</v>
      </c>
      <c r="J8" s="30" t="n"/>
      <c r="K8" s="23">
        <f>D8*E8</f>
        <v/>
      </c>
      <c r="L8" s="23">
        <f>D8*F8</f>
        <v/>
      </c>
      <c r="M8" s="23">
        <f>D8*G8</f>
        <v/>
      </c>
      <c r="N8" s="23">
        <f>D8*H8</f>
        <v/>
      </c>
      <c r="O8" s="23">
        <f>D8*I8</f>
        <v/>
      </c>
      <c r="P8" s="23" t="n"/>
      <c r="Q8" s="16" t="n"/>
    </row>
    <row r="9">
      <c r="A9" s="1" t="n"/>
      <c r="B9" s="9" t="inlineStr">
        <is>
          <t>Malunggay leaves</t>
        </is>
      </c>
      <c r="C9" s="10" t="n">
        <v>50</v>
      </c>
      <c r="D9" s="23">
        <f>C9/100</f>
        <v/>
      </c>
      <c r="E9" s="10" t="n">
        <v>108</v>
      </c>
      <c r="F9" s="10" t="n">
        <v>9.699999999999999</v>
      </c>
      <c r="G9" s="10" t="n">
        <v>12.7</v>
      </c>
      <c r="H9" s="10" t="n">
        <v>2</v>
      </c>
      <c r="I9" s="10" t="n">
        <v>6.7</v>
      </c>
      <c r="J9" s="30" t="n"/>
      <c r="K9" s="23">
        <f>D9*E9</f>
        <v/>
      </c>
      <c r="L9" s="23">
        <f>D9*F9</f>
        <v/>
      </c>
      <c r="M9" s="23">
        <f>D9*G9</f>
        <v/>
      </c>
      <c r="N9" s="23">
        <f>D9*H9</f>
        <v/>
      </c>
      <c r="O9" s="23">
        <f>D9*I9</f>
        <v/>
      </c>
      <c r="P9" s="23" t="n"/>
      <c r="Q9" s="16" t="n"/>
    </row>
    <row r="10">
      <c r="A10" s="1" t="n"/>
      <c r="B10" s="9" t="inlineStr">
        <is>
          <t>Tomato</t>
        </is>
      </c>
      <c r="C10" s="10" t="n">
        <v>70</v>
      </c>
      <c r="D10" s="23">
        <f>C10/100</f>
        <v/>
      </c>
      <c r="E10" s="10" t="n">
        <v>25</v>
      </c>
      <c r="F10" s="10" t="n">
        <v>0.8</v>
      </c>
      <c r="G10" s="10" t="n">
        <v>5.2</v>
      </c>
      <c r="H10" s="10" t="n">
        <v>0.1</v>
      </c>
      <c r="I10" s="10" t="n">
        <v>0.3</v>
      </c>
      <c r="J10" s="30" t="n"/>
      <c r="K10" s="23">
        <f>D10*E10</f>
        <v/>
      </c>
      <c r="L10" s="23">
        <f>D10*F10</f>
        <v/>
      </c>
      <c r="M10" s="23">
        <f>D10*G10</f>
        <v/>
      </c>
      <c r="N10" s="23">
        <f>D10*H10</f>
        <v/>
      </c>
      <c r="O10" s="23">
        <f>D10*I10</f>
        <v/>
      </c>
      <c r="P10" s="23" t="n"/>
      <c r="Q10" s="16" t="n"/>
    </row>
    <row r="11">
      <c r="A11" s="1" t="n"/>
      <c r="B11" s="9" t="inlineStr">
        <is>
          <t>Onion</t>
        </is>
      </c>
      <c r="C11" s="10" t="n">
        <v>30</v>
      </c>
      <c r="D11" s="23">
        <f>C11/100</f>
        <v/>
      </c>
      <c r="E11" s="10" t="n">
        <v>52</v>
      </c>
      <c r="F11" s="10" t="n">
        <v>1.7</v>
      </c>
      <c r="G11" s="10" t="n">
        <v>10.5</v>
      </c>
      <c r="H11" s="10" t="n">
        <v>0.3</v>
      </c>
      <c r="I11" s="10" t="n">
        <v>2</v>
      </c>
      <c r="J11" s="30" t="n"/>
      <c r="K11" s="23">
        <f>D11*E11</f>
        <v/>
      </c>
      <c r="L11" s="23">
        <f>D11*F11</f>
        <v/>
      </c>
      <c r="M11" s="23">
        <f>D11*G11</f>
        <v/>
      </c>
      <c r="N11" s="23">
        <f>D11*H11</f>
        <v/>
      </c>
      <c r="O11" s="23">
        <f>D11*I11</f>
        <v/>
      </c>
      <c r="P11" s="23" t="n"/>
      <c r="Q11" s="16" t="n"/>
    </row>
    <row r="12">
      <c r="A12" s="1" t="n"/>
      <c r="B12" s="9" t="inlineStr">
        <is>
          <t>Garlic</t>
        </is>
      </c>
      <c r="C12" s="10" t="n">
        <v>7</v>
      </c>
      <c r="D12" s="23">
        <f>C12/100</f>
        <v/>
      </c>
      <c r="E12" s="10" t="n">
        <v>129</v>
      </c>
      <c r="F12" s="10" t="n">
        <v>7</v>
      </c>
      <c r="G12" s="10" t="n">
        <v>24.6</v>
      </c>
      <c r="H12" s="10" t="n">
        <v>0.3</v>
      </c>
      <c r="I12" s="10" t="n">
        <v>1.7</v>
      </c>
      <c r="J12" s="30" t="n"/>
      <c r="K12" s="23">
        <f>D12*E12</f>
        <v/>
      </c>
      <c r="L12" s="23">
        <f>D12*F12</f>
        <v/>
      </c>
      <c r="M12" s="23">
        <f>D12*G12</f>
        <v/>
      </c>
      <c r="N12" s="23">
        <f>D12*H12</f>
        <v/>
      </c>
      <c r="O12" s="23">
        <f>D12*I12</f>
        <v/>
      </c>
      <c r="P12" s="23" t="n"/>
      <c r="Q12" s="16" t="n"/>
    </row>
    <row r="13">
      <c r="A13" s="1" t="n"/>
      <c r="B13" s="9" t="inlineStr">
        <is>
          <t>Cooking oil</t>
        </is>
      </c>
      <c r="C13" s="10" t="n">
        <v>13</v>
      </c>
      <c r="D13" s="23">
        <f>C13/100</f>
        <v/>
      </c>
      <c r="E13" s="10" t="n">
        <v>896</v>
      </c>
      <c r="F13" s="10" t="n">
        <v>0</v>
      </c>
      <c r="G13" s="10" t="n">
        <v>0</v>
      </c>
      <c r="H13" s="10" t="n">
        <v>99.59999999999999</v>
      </c>
      <c r="I13" s="10" t="n">
        <v>0</v>
      </c>
      <c r="J13" s="30" t="n"/>
      <c r="K13" s="23">
        <f>D13*E13</f>
        <v/>
      </c>
      <c r="L13" s="23">
        <f>D13*F13</f>
        <v/>
      </c>
      <c r="M13" s="23">
        <f>D13*G13</f>
        <v/>
      </c>
      <c r="N13" s="23">
        <f>D13*H13</f>
        <v/>
      </c>
      <c r="O13" s="23">
        <f>D13*I13</f>
        <v/>
      </c>
      <c r="P13" s="23" t="n"/>
      <c r="Q13" s="16" t="n"/>
    </row>
    <row r="14">
      <c r="A14" s="1" t="n"/>
      <c r="B14" s="9" t="inlineStr">
        <is>
          <t>Pineapple</t>
        </is>
      </c>
      <c r="C14" s="10" t="n">
        <v>150</v>
      </c>
      <c r="D14" s="23">
        <f>C14/100</f>
        <v/>
      </c>
      <c r="E14" s="10" t="n">
        <v>55</v>
      </c>
      <c r="F14" s="10" t="n">
        <v>0.4</v>
      </c>
      <c r="G14" s="10" t="n">
        <v>13</v>
      </c>
      <c r="H14" s="10" t="n">
        <v>0.2</v>
      </c>
      <c r="I14" s="10" t="n">
        <v>1.4</v>
      </c>
      <c r="J14" s="31" t="n"/>
      <c r="K14" s="23">
        <f>D14*E14</f>
        <v/>
      </c>
      <c r="L14" s="23">
        <f>D14*F14</f>
        <v/>
      </c>
      <c r="M14" s="23">
        <f>D14*G14</f>
        <v/>
      </c>
      <c r="N14" s="23">
        <f>D14*H14</f>
        <v/>
      </c>
      <c r="O14" s="23">
        <f>D14*I14</f>
        <v/>
      </c>
      <c r="P14" s="23" t="n"/>
      <c r="Q14" s="16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6" t="n"/>
    </row>
    <row r="16">
      <c r="A16" s="1" t="n"/>
      <c r="B16" s="35" t="inlineStr">
        <is>
          <t>OVERALL TOTAL</t>
        </is>
      </c>
      <c r="C16" s="28" t="n"/>
      <c r="D16" s="28" t="n"/>
      <c r="E16" s="28" t="n"/>
      <c r="F16" s="28" t="n"/>
      <c r="G16" s="28" t="n"/>
      <c r="H16" s="28" t="n"/>
      <c r="I16" s="32" t="n"/>
      <c r="J16" s="1" t="n"/>
      <c r="K16" s="23">
        <f>SUM(K6:K14)</f>
        <v/>
      </c>
      <c r="L16" s="23">
        <f>SUM(L6:L14)</f>
        <v/>
      </c>
      <c r="M16" s="23">
        <f>SUM(M6:M14)</f>
        <v/>
      </c>
      <c r="N16" s="23">
        <f>SUM(N6:N14)</f>
        <v/>
      </c>
      <c r="O16" s="23">
        <f>SUM(O6:O14)</f>
        <v/>
      </c>
      <c r="P16" s="23" t="n"/>
      <c r="Q16" s="16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6" t="n"/>
    </row>
  </sheetData>
  <mergeCells count="9">
    <mergeCell ref="E4:I4"/>
    <mergeCell ref="B2:P2"/>
    <mergeCell ref="J4:J14"/>
    <mergeCell ref="B4:B5"/>
    <mergeCell ref="B16:I16"/>
    <mergeCell ref="B1:Q1"/>
    <mergeCell ref="P4:P5"/>
    <mergeCell ref="K4:O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2026-07-14T11:15:45Z</dcterms:created>
  <dcterms:modified xmlns:dcterms="http://purl.org/dc/terms/" xmlns:xsi="http://www.w3.org/2001/XMLSchema-instance" xsi:type="dcterms:W3CDTF">2026-07-14T11:15:45Z</dcterms:modified>
</cp:coreProperties>
</file>